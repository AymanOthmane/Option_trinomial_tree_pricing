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man\Documents\3-Dauphine Offline\Master 2 Ingénierie Economique et Financière spe Quant\"/>
    </mc:Choice>
  </mc:AlternateContent>
  <xr:revisionPtr revIDLastSave="0" documentId="13_ncr:1_{E4CEAB91-70E0-4F53-8D11-6BC68B00D0E9}" xr6:coauthVersionLast="47" xr6:coauthVersionMax="47" xr10:uidLastSave="{00000000-0000-0000-0000-000000000000}"/>
  <bookViews>
    <workbookView xWindow="-120" yWindow="-120" windowWidth="20730" windowHeight="11160" xr2:uid="{B38A9C0F-4ACC-4C3D-B2B7-D598D1F412B3}"/>
  </bookViews>
  <sheets>
    <sheet name="Interface" sheetId="2" r:id="rId1"/>
    <sheet name="Interface Python" sheetId="5" r:id="rId2"/>
    <sheet name="Tree" sheetId="4" r:id="rId3"/>
    <sheet name="Ref" sheetId="3" state="hidden" r:id="rId4"/>
  </sheets>
  <functionGroups builtInGroupCount="19">
    <functionGroup name="xlwings"/>
  </functionGroups>
  <definedNames>
    <definedName name="AmEu">Interface!$C$12</definedName>
    <definedName name="BS_Delta">Interface!$G$8</definedName>
    <definedName name="BS_Gamma">Interface!$G$9</definedName>
    <definedName name="BS_Price">Interface!$F$4</definedName>
    <definedName name="BS_Rho">Interface!$G$12</definedName>
    <definedName name="BS_Theta">Interface!$G$11</definedName>
    <definedName name="BS_Vega">Interface!$G$10</definedName>
    <definedName name="Compute_Greeks">Interface!$C$16</definedName>
    <definedName name="Data_To_Print">Interface!$J$4</definedName>
    <definedName name="Div">Interface!$C$6</definedName>
    <definedName name="DivExDate">Interface!$C$7</definedName>
    <definedName name="Maturity">Interface!$C$10</definedName>
    <definedName name="Nb_Nodes">Interface!$F$5</definedName>
    <definedName name="Nb_Step">Interface!$C$15</definedName>
    <definedName name="Price">Interface!$F$3</definedName>
    <definedName name="Pricing_Date">Interface!$C$14</definedName>
    <definedName name="Py_Barrier">'Interface Python'!$C$13</definedName>
    <definedName name="Py_BSDelta">'Interface Python'!$G$8</definedName>
    <definedName name="Py_BSGamma">'Interface Python'!$G$9</definedName>
    <definedName name="Py_BSRho">'Interface Python'!$G$12</definedName>
    <definedName name="Py_BSTheta">'Interface Python'!$G$11</definedName>
    <definedName name="Py_BSVega">'Interface Python'!$G$10</definedName>
    <definedName name="Py_ComputeGreeks">'Interface Python'!$C$17</definedName>
    <definedName name="Py_Div">'Interface Python'!$C$6</definedName>
    <definedName name="Py_DivExDate">'Interface Python'!$C$7</definedName>
    <definedName name="Py_Maturity">'Interface Python'!$C$10</definedName>
    <definedName name="Py_Nat">'Interface Python'!$C$12</definedName>
    <definedName name="Py_NbSteps">'Interface Python'!$C$16</definedName>
    <definedName name="Py_Price_BS">'Interface Python'!$F$4</definedName>
    <definedName name="Py_Price_Date">'Interface Python'!$C$15</definedName>
    <definedName name="Py_Price_Tree">'Interface Python'!$F$3</definedName>
    <definedName name="Py_Rate">'Interface Python'!$C$4</definedName>
    <definedName name="Py_runTimePrice">'Interface Python'!$F$16</definedName>
    <definedName name="Py_runTimeTree">'Interface Python'!$F$15</definedName>
    <definedName name="Py_Spot">'Interface Python'!$C$5</definedName>
    <definedName name="Py_Strike">'Interface Python'!$C$9</definedName>
    <definedName name="Py_TreeDelta">'Interface Python'!$F$8</definedName>
    <definedName name="Py_TreeGamma">'Interface Python'!$F$9</definedName>
    <definedName name="Py_TreeRho">'Interface Python'!$F$12</definedName>
    <definedName name="Py_TreeTheta">'Interface Python'!$F$11</definedName>
    <definedName name="Py_TreeVega">'Interface Python'!$F$10</definedName>
    <definedName name="Py_Type_C_P">'Interface Python'!$C$11</definedName>
    <definedName name="Py_Vol">'Interface Python'!$C$3</definedName>
    <definedName name="Rate">Interface!$C$4</definedName>
    <definedName name="Spot">Interface!$C$5</definedName>
    <definedName name="Strike">Interface!$C$9</definedName>
    <definedName name="Time_Price">Interface!$F$16</definedName>
    <definedName name="Time_Tree">Interface!$F$15</definedName>
    <definedName name="Tree_Delta">Interface!$F$8</definedName>
    <definedName name="Tree_Gamma">Interface!$F$9</definedName>
    <definedName name="Tree_Print">Interface!$J$3</definedName>
    <definedName name="Tree_Rho">Interface!$F$12</definedName>
    <definedName name="Tree_Theta">Interface!$F$11</definedName>
    <definedName name="Tree_Vega">Interface!$F$10</definedName>
    <definedName name="Type">Interface!$C$11</definedName>
    <definedName name="Vol">Interface!$C$3</definedName>
  </definedNames>
  <calcPr calcId="191029"/>
  <extLst>
    <ext xmlns:x14="http://schemas.microsoft.com/office/spreadsheetml/2009/9/main" uri="{8193D73E-4604-4355-AFF4-8A2333D13BE4}">
      <x14:definedNames>
        <x14:definedName name="black_Schol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lack_Schole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lack_Schole_gamm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lack_Schole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lack_Schole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lack_Schole_veg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_Del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uild_Price_Tree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Bulid_Price_Tree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Tree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TreeGamm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TreeRho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TreeThet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TreeVeg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C2" i="3"/>
  <c r="C1" i="3"/>
  <c r="F8" i="5" a="1"/>
  <c r="F3" i="5" a="1"/>
  <c r="F16" i="5" a="1"/>
  <c r="G12" i="5" a="1"/>
  <c r="G8" i="5" a="1"/>
  <c r="G9" i="5" a="1"/>
  <c r="G11" i="5" a="1"/>
  <c r="G10" i="5" a="1"/>
  <c r="F4" i="5" a="1"/>
  <c r="F15" i="5" a="1"/>
  <c r="F8" i="5" l="1"/>
  <c r="F3" i="5"/>
  <c r="F16" i="5"/>
  <c r="G11" i="5"/>
  <c r="F4" i="5"/>
  <c r="F15" i="5"/>
  <c r="G10" i="5"/>
  <c r="G9" i="5"/>
  <c r="G8" i="5"/>
  <c r="G12" i="5"/>
  <c r="F9" i="5" a="1"/>
  <c r="F10" i="5" a="1"/>
  <c r="F11" i="5" a="1"/>
  <c r="F12" i="5" a="1"/>
  <c r="F12" i="5" l="1"/>
  <c r="F11" i="5"/>
  <c r="F10" i="5"/>
  <c r="F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<sst xmlns="http://schemas.openxmlformats.org/spreadsheetml/2006/main" count="80" uniqueCount="45">
  <si>
    <t>Market</t>
  </si>
  <si>
    <t>Vol</t>
  </si>
  <si>
    <t>Rate</t>
  </si>
  <si>
    <t>Spot</t>
  </si>
  <si>
    <t>Div ExDate</t>
  </si>
  <si>
    <t>Option</t>
  </si>
  <si>
    <t>Strike</t>
  </si>
  <si>
    <t>Maturité</t>
  </si>
  <si>
    <t>Type</t>
  </si>
  <si>
    <t>Call</t>
  </si>
  <si>
    <t>Model</t>
  </si>
  <si>
    <t>Pricing Date</t>
  </si>
  <si>
    <t>Nb Step</t>
  </si>
  <si>
    <t>Tree</t>
  </si>
  <si>
    <t>Proba</t>
  </si>
  <si>
    <t>Price</t>
  </si>
  <si>
    <t>Put</t>
  </si>
  <si>
    <t>Eu</t>
  </si>
  <si>
    <t>Am</t>
  </si>
  <si>
    <t>Divident</t>
  </si>
  <si>
    <t xml:space="preserve">Results </t>
  </si>
  <si>
    <t>Price (tree)</t>
  </si>
  <si>
    <t>Price (Black &amp; Scholes)</t>
  </si>
  <si>
    <t>Greeks</t>
  </si>
  <si>
    <t>Delta</t>
  </si>
  <si>
    <t>Gamma</t>
  </si>
  <si>
    <t>Vega</t>
  </si>
  <si>
    <t>Theta</t>
  </si>
  <si>
    <t>Rho</t>
  </si>
  <si>
    <t>B&amp;S</t>
  </si>
  <si>
    <t>Compute Greeks</t>
  </si>
  <si>
    <t>Nb Nodes</t>
  </si>
  <si>
    <t>Pricing</t>
  </si>
  <si>
    <t>Data to print</t>
  </si>
  <si>
    <t>Print Tree</t>
  </si>
  <si>
    <t>Printing</t>
  </si>
  <si>
    <t>Run Time</t>
  </si>
  <si>
    <r>
      <t xml:space="preserve">Run Time </t>
    </r>
    <r>
      <rPr>
        <sz val="11"/>
        <color theme="1"/>
        <rFont val="Calibri"/>
        <family val="2"/>
        <scheme val="minor"/>
      </rPr>
      <t>(in secs)</t>
    </r>
  </si>
  <si>
    <t>Nature</t>
  </si>
  <si>
    <t>Barrier</t>
  </si>
  <si>
    <t>Up &amp; Out</t>
  </si>
  <si>
    <t>Down &amp; Out</t>
  </si>
  <si>
    <t>UO</t>
  </si>
  <si>
    <t>DO</t>
  </si>
  <si>
    <t>0,2734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</si>
</sst>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C]d\-mmm\-yyyy;@"/>
    <numFmt numFmtId="165" formatCode="0.0000"/>
    <numFmt numFmtId="166" formatCode="0.000000%"/>
    <numFmt numFmtId="167" formatCode="0.00000"/>
    <numFmt numFmtId="168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0" borderId="1" xfId="0" applyBorder="1"/>
    <xf numFmtId="10" fontId="0" fillId="0" borderId="2" xfId="1" applyNumberFormat="1" applyFont="1" applyBorder="1"/>
    <xf numFmtId="0" fontId="0" fillId="0" borderId="3" xfId="0" applyBorder="1"/>
    <xf numFmtId="10" fontId="0" fillId="0" borderId="4" xfId="1" applyNumberFormat="1" applyFont="1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4" xfId="0" applyBorder="1" applyAlignment="1">
      <alignment horizontal="right"/>
    </xf>
    <xf numFmtId="0" fontId="0" fillId="0" borderId="17" xfId="0" applyBorder="1"/>
    <xf numFmtId="0" fontId="1" fillId="0" borderId="11" xfId="0" applyFont="1" applyBorder="1"/>
    <xf numFmtId="0" fontId="1" fillId="0" borderId="14" xfId="0" applyFont="1" applyBorder="1"/>
    <xf numFmtId="164" fontId="0" fillId="0" borderId="6" xfId="0" applyNumberFormat="1" applyBorder="1"/>
    <xf numFmtId="164" fontId="0" fillId="0" borderId="4" xfId="0" applyNumberFormat="1" applyBorder="1"/>
    <xf numFmtId="164" fontId="0" fillId="0" borderId="2" xfId="0" applyNumberFormat="1" applyBorder="1"/>
    <xf numFmtId="164" fontId="0" fillId="0" borderId="18" xfId="0" applyNumberFormat="1" applyBorder="1"/>
    <xf numFmtId="0" fontId="0" fillId="0" borderId="19" xfId="0" applyBorder="1" applyAlignment="1">
      <alignment horizontal="right"/>
    </xf>
    <xf numFmtId="166" fontId="0" fillId="2" borderId="0" xfId="1" applyNumberFormat="1" applyFont="1" applyFill="1"/>
    <xf numFmtId="167" fontId="0" fillId="0" borderId="17" xfId="0" applyNumberFormat="1" applyBorder="1"/>
    <xf numFmtId="167" fontId="0" fillId="0" borderId="4" xfId="0" applyNumberFormat="1" applyBorder="1"/>
    <xf numFmtId="168" fontId="0" fillId="0" borderId="0" xfId="0" applyNumberFormat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65" fontId="0" fillId="0" borderId="15" xfId="0" applyNumberFormat="1" applyBorder="1" applyAlignment="1">
      <alignment horizontal="right"/>
    </xf>
    <xf numFmtId="165" fontId="0" fillId="0" borderId="2" xfId="0" applyNumberFormat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6" xfId="0" applyBorder="1" applyAlignment="1">
      <alignment horizontal="right"/>
    </xf>
    <xf numFmtId="165" fontId="0" fillId="0" borderId="4" xfId="0" applyNumberFormat="1" applyBorder="1" applyAlignment="1">
      <alignment horizontal="right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right" wrapText="1"/>
    </xf>
    <xf numFmtId="167" fontId="0" fillId="0" borderId="1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3727</xdr:colOff>
      <xdr:row>4</xdr:row>
      <xdr:rowOff>149088</xdr:rowOff>
    </xdr:from>
    <xdr:to>
      <xdr:col>10</xdr:col>
      <xdr:colOff>49697</xdr:colOff>
      <xdr:row>7</xdr:row>
      <xdr:rowOff>16566</xdr:rowOff>
    </xdr:to>
    <xdr:sp macro="[0]!Main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4A4C17-4141-A2C8-8D7E-11AFE01433CF}"/>
            </a:ext>
          </a:extLst>
        </xdr:cNvPr>
        <xdr:cNvSpPr/>
      </xdr:nvSpPr>
      <xdr:spPr>
        <a:xfrm>
          <a:off x="6654662" y="935936"/>
          <a:ext cx="2199448" cy="463826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600" b="1">
              <a:solidFill>
                <a:sysClr val="windowText" lastClr="000000"/>
              </a:solidFill>
            </a:rPr>
            <a:t>Price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9C14D-D220-48A5-B150-5E0D2F5C1859}">
  <sheetPr codeName="Sheet1"/>
  <dimension ref="B1:M19"/>
  <sheetViews>
    <sheetView showGridLines="0" tabSelected="1" zoomScale="115" zoomScaleNormal="115" workbookViewId="0">
      <selection activeCell="I14" sqref="I14"/>
    </sheetView>
  </sheetViews>
  <sheetFormatPr defaultRowHeight="15" x14ac:dyDescent="0.25"/>
  <cols>
    <col min="1" max="1" width="9.140625" style="1"/>
    <col min="2" max="2" width="19" style="1" customWidth="1"/>
    <col min="3" max="3" width="13" style="1" bestFit="1" customWidth="1"/>
    <col min="4" max="4" width="6" style="1" customWidth="1"/>
    <col min="5" max="5" width="21.140625" style="1" bestFit="1" customWidth="1"/>
    <col min="6" max="6" width="12.85546875" style="1" customWidth="1"/>
    <col min="7" max="7" width="11" style="1" customWidth="1"/>
    <col min="8" max="8" width="7.42578125" style="1" customWidth="1"/>
    <col min="9" max="10" width="16.140625" style="1" customWidth="1"/>
    <col min="11" max="12" width="9.140625" style="1"/>
    <col min="13" max="13" width="11" style="1" bestFit="1" customWidth="1"/>
    <col min="14" max="16384" width="9.140625" style="1"/>
  </cols>
  <sheetData>
    <row r="1" spans="2:10" ht="15.75" thickBot="1" x14ac:dyDescent="0.3"/>
    <row r="2" spans="2:10" ht="15.75" thickBot="1" x14ac:dyDescent="0.3">
      <c r="B2" s="32" t="s">
        <v>0</v>
      </c>
      <c r="C2" s="33"/>
      <c r="E2" s="25" t="s">
        <v>20</v>
      </c>
      <c r="F2" s="26"/>
      <c r="G2" s="27"/>
      <c r="I2" s="23" t="s">
        <v>35</v>
      </c>
      <c r="J2" s="24"/>
    </row>
    <row r="3" spans="2:10" x14ac:dyDescent="0.25">
      <c r="B3" s="2" t="s">
        <v>1</v>
      </c>
      <c r="C3" s="3">
        <v>0.3095</v>
      </c>
      <c r="E3" s="2" t="s">
        <v>21</v>
      </c>
      <c r="F3" s="34">
        <v>1.8734006688524341</v>
      </c>
      <c r="G3" s="35"/>
      <c r="I3" s="2" t="s">
        <v>34</v>
      </c>
      <c r="J3" s="17" t="b">
        <v>1</v>
      </c>
    </row>
    <row r="4" spans="2:10" ht="15.75" thickBot="1" x14ac:dyDescent="0.3">
      <c r="B4" s="4" t="s">
        <v>2</v>
      </c>
      <c r="C4" s="5">
        <v>1.46E-2</v>
      </c>
      <c r="E4" s="4" t="s">
        <v>22</v>
      </c>
      <c r="F4" s="38">
        <v>1.7568844544504787</v>
      </c>
      <c r="G4" s="38"/>
      <c r="I4" s="7" t="s">
        <v>33</v>
      </c>
      <c r="J4" s="18" t="s">
        <v>15</v>
      </c>
    </row>
    <row r="5" spans="2:10" ht="15.75" thickBot="1" x14ac:dyDescent="0.3">
      <c r="B5" s="4" t="s">
        <v>3</v>
      </c>
      <c r="C5" s="6">
        <v>88.71</v>
      </c>
      <c r="E5" s="7" t="s">
        <v>31</v>
      </c>
      <c r="F5" s="36">
        <v>3760</v>
      </c>
      <c r="G5" s="37"/>
    </row>
    <row r="6" spans="2:10" ht="15.75" thickBot="1" x14ac:dyDescent="0.3">
      <c r="B6" s="4" t="s">
        <v>19</v>
      </c>
      <c r="C6" s="6">
        <v>1.36</v>
      </c>
      <c r="E6" s="25" t="s">
        <v>23</v>
      </c>
      <c r="F6" s="26"/>
      <c r="G6" s="27"/>
    </row>
    <row r="7" spans="2:10" ht="15.75" thickBot="1" x14ac:dyDescent="0.3">
      <c r="B7" s="7" t="s">
        <v>4</v>
      </c>
      <c r="C7" s="14">
        <v>44903</v>
      </c>
      <c r="E7" s="2"/>
      <c r="F7" s="12" t="s">
        <v>13</v>
      </c>
      <c r="G7" s="13" t="s">
        <v>29</v>
      </c>
    </row>
    <row r="8" spans="2:10" ht="15.75" thickBot="1" x14ac:dyDescent="0.3">
      <c r="B8" s="23" t="s">
        <v>5</v>
      </c>
      <c r="C8" s="24"/>
      <c r="E8" s="4" t="s">
        <v>24</v>
      </c>
      <c r="F8" s="20">
        <v>-0.15064526267920914</v>
      </c>
      <c r="G8" s="21">
        <v>-0.13427740803610155</v>
      </c>
    </row>
    <row r="9" spans="2:10" x14ac:dyDescent="0.25">
      <c r="B9" s="2" t="s">
        <v>6</v>
      </c>
      <c r="C9" s="8">
        <v>70.400000000000006</v>
      </c>
      <c r="E9" s="4" t="s">
        <v>25</v>
      </c>
      <c r="F9" s="20">
        <v>7.8646957727372124E-3</v>
      </c>
      <c r="G9" s="21">
        <v>9.9907339082228302E-3</v>
      </c>
    </row>
    <row r="10" spans="2:10" x14ac:dyDescent="0.25">
      <c r="B10" s="4" t="s">
        <v>7</v>
      </c>
      <c r="C10" s="15">
        <v>45023</v>
      </c>
      <c r="E10" s="4" t="s">
        <v>26</v>
      </c>
      <c r="F10" s="20">
        <v>0.16213628546315872</v>
      </c>
      <c r="G10" s="21">
        <v>0.15133389039141265</v>
      </c>
    </row>
    <row r="11" spans="2:10" x14ac:dyDescent="0.25">
      <c r="B11" s="4" t="s">
        <v>8</v>
      </c>
      <c r="C11" s="10" t="s">
        <v>16</v>
      </c>
      <c r="E11" s="4" t="s">
        <v>27</v>
      </c>
      <c r="F11" s="20">
        <v>-1.0883330201422847E-2</v>
      </c>
      <c r="G11" s="21">
        <v>-3.48542659702697E-2</v>
      </c>
    </row>
    <row r="12" spans="2:10" ht="15.75" thickBot="1" x14ac:dyDescent="0.3">
      <c r="B12" s="4" t="s">
        <v>8</v>
      </c>
      <c r="C12" s="10" t="s">
        <v>17</v>
      </c>
      <c r="E12" s="4" t="s">
        <v>28</v>
      </c>
      <c r="F12" s="20">
        <v>-9.3666649706670269E-2</v>
      </c>
      <c r="G12" s="21">
        <v>-0.11934457799675995</v>
      </c>
    </row>
    <row r="13" spans="2:10" ht="15.75" thickBot="1" x14ac:dyDescent="0.3">
      <c r="B13" s="23" t="s">
        <v>10</v>
      </c>
      <c r="C13" s="24"/>
      <c r="E13" s="4"/>
      <c r="F13" s="11"/>
      <c r="G13" s="6"/>
    </row>
    <row r="14" spans="2:10" ht="15.75" thickBot="1" x14ac:dyDescent="0.3">
      <c r="B14" s="2" t="s">
        <v>11</v>
      </c>
      <c r="C14" s="16">
        <v>44796</v>
      </c>
      <c r="E14" s="25" t="s">
        <v>36</v>
      </c>
      <c r="F14" s="26"/>
      <c r="G14" s="27"/>
    </row>
    <row r="15" spans="2:10" ht="15.75" thickBot="1" x14ac:dyDescent="0.3">
      <c r="B15" s="4" t="s">
        <v>12</v>
      </c>
      <c r="C15" s="6">
        <v>100</v>
      </c>
      <c r="E15" s="4" t="s">
        <v>13</v>
      </c>
      <c r="F15" s="28">
        <v>2.8984000000000001</v>
      </c>
      <c r="G15" s="29"/>
    </row>
    <row r="16" spans="2:10" ht="15.75" thickBot="1" x14ac:dyDescent="0.3">
      <c r="B16" s="7" t="s">
        <v>30</v>
      </c>
      <c r="C16" s="9" t="b">
        <v>0</v>
      </c>
      <c r="E16" s="7" t="s">
        <v>32</v>
      </c>
      <c r="F16" s="30" t="s">
        <v>44</v>
      </c>
      <c r="G16" s="31"/>
    </row>
    <row r="19" spans="13:13" x14ac:dyDescent="0.25">
      <c r="M19" s="19"/>
    </row>
  </sheetData>
  <mergeCells count="12">
    <mergeCell ref="I2:J2"/>
    <mergeCell ref="E14:G14"/>
    <mergeCell ref="F15:G15"/>
    <mergeCell ref="F16:G16"/>
    <mergeCell ref="B2:C2"/>
    <mergeCell ref="B8:C8"/>
    <mergeCell ref="B13:C13"/>
    <mergeCell ref="E2:G2"/>
    <mergeCell ref="F3:G3"/>
    <mergeCell ref="F5:G5"/>
    <mergeCell ref="F4:G4"/>
    <mergeCell ref="E6:G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6CE2439-1F49-46B6-A11D-D3130A52E534}">
          <x14:formula1>
            <xm:f>Ref!$A$1:$A$2</xm:f>
          </x14:formula1>
          <xm:sqref>C11</xm:sqref>
        </x14:dataValidation>
        <x14:dataValidation type="list" allowBlank="1" showInputMessage="1" showErrorMessage="1" xr:uid="{11C7DCC5-25B7-4A28-A385-4D0D378164A2}">
          <x14:formula1>
            <xm:f>Ref!$B$1:$B$2</xm:f>
          </x14:formula1>
          <xm:sqref>C12</xm:sqref>
        </x14:dataValidation>
        <x14:dataValidation type="list" allowBlank="1" showInputMessage="1" showErrorMessage="1" xr:uid="{B389FBAD-1ABF-4F99-A672-ADDC192E832F}">
          <x14:formula1>
            <xm:f>Ref!$C$1:$C$2</xm:f>
          </x14:formula1>
          <xm:sqref>C16 J3</xm:sqref>
        </x14:dataValidation>
        <x14:dataValidation type="list" allowBlank="1" showInputMessage="1" showErrorMessage="1" xr:uid="{37F70CF5-7118-430E-AD02-4EBA72CEF9C4}">
          <x14:formula1>
            <xm:f>Ref!$D$1:$D$3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73BF3-CE97-427D-8361-F09113181AA7}">
  <sheetPr codeName="Sheet4"/>
  <dimension ref="B1:K19"/>
  <sheetViews>
    <sheetView showGridLines="0" workbookViewId="0">
      <selection activeCell="I13" sqref="I13"/>
    </sheetView>
  </sheetViews>
  <sheetFormatPr defaultRowHeight="15" x14ac:dyDescent="0.25"/>
  <cols>
    <col min="1" max="1" width="9.140625" style="1"/>
    <col min="2" max="2" width="16.28515625" style="1" customWidth="1"/>
    <col min="3" max="3" width="13" style="1" bestFit="1" customWidth="1"/>
    <col min="4" max="4" width="6" style="1" customWidth="1"/>
    <col min="5" max="5" width="21.140625" style="1" bestFit="1" customWidth="1"/>
    <col min="6" max="6" width="12.85546875" style="1" customWidth="1"/>
    <col min="7" max="7" width="12.42578125" style="1" customWidth="1"/>
    <col min="8" max="8" width="7.42578125" style="1" customWidth="1"/>
    <col min="9" max="10" width="9.140625" style="1"/>
    <col min="11" max="11" width="11" style="1" bestFit="1" customWidth="1"/>
    <col min="12" max="16384" width="9.140625" style="1"/>
  </cols>
  <sheetData>
    <row r="1" spans="2:7" ht="15.75" thickBot="1" x14ac:dyDescent="0.3"/>
    <row r="2" spans="2:7" ht="15.75" thickBot="1" x14ac:dyDescent="0.3">
      <c r="B2" s="32" t="s">
        <v>0</v>
      </c>
      <c r="C2" s="33"/>
      <c r="E2" s="25" t="s">
        <v>20</v>
      </c>
      <c r="F2" s="26"/>
      <c r="G2" s="27"/>
    </row>
    <row r="3" spans="2:7" x14ac:dyDescent="0.25">
      <c r="B3" s="2" t="s">
        <v>1</v>
      </c>
      <c r="C3" s="3">
        <v>0.25</v>
      </c>
      <c r="E3" s="2" t="s">
        <v>21</v>
      </c>
      <c r="F3" s="41" cm="1">
        <f t="array" ref="F3">Build_Price_Tree(Py_Vol,Py_Rate,Py_Spot,Py_Div,Py_Price_Date,Py_Maturity,Py_DivExDate,Py_Strike,Py_Type_C_P,Py_Nat,Py_NbSteps,Py_Barrier,FALSE,FALSE,FALSE)</f>
        <v>7.6243064932012201</v>
      </c>
      <c r="G3" s="35"/>
    </row>
    <row r="4" spans="2:7" x14ac:dyDescent="0.25">
      <c r="B4" s="4" t="s">
        <v>2</v>
      </c>
      <c r="C4" s="5">
        <v>1.46E-2</v>
      </c>
      <c r="E4" s="4" t="s">
        <v>22</v>
      </c>
      <c r="F4" s="38" cm="1">
        <f t="array" ref="F4">black_Schole(Py_Type_C_P,Py_Strike,YEARFRAC(Py_Price_Date,Py_Maturity),Py_Vol,Py_Rate,Py_Div,Py_Spot)</f>
        <v>7.8167880394375473</v>
      </c>
      <c r="G4" s="38"/>
    </row>
    <row r="5" spans="2:7" ht="15.75" thickBot="1" x14ac:dyDescent="0.3">
      <c r="B5" s="4" t="s">
        <v>3</v>
      </c>
      <c r="C5" s="6">
        <v>100</v>
      </c>
      <c r="E5" s="7"/>
      <c r="F5" s="36"/>
      <c r="G5" s="37"/>
    </row>
    <row r="6" spans="2:7" ht="15.75" thickBot="1" x14ac:dyDescent="0.3">
      <c r="B6" s="4" t="s">
        <v>19</v>
      </c>
      <c r="C6" s="6">
        <v>1.36</v>
      </c>
      <c r="E6" s="25" t="s">
        <v>23</v>
      </c>
      <c r="F6" s="26"/>
      <c r="G6" s="27"/>
    </row>
    <row r="7" spans="2:7" ht="15.75" thickBot="1" x14ac:dyDescent="0.3">
      <c r="B7" s="7" t="s">
        <v>4</v>
      </c>
      <c r="C7" s="14">
        <v>44903</v>
      </c>
      <c r="E7" s="2"/>
      <c r="F7" s="12" t="s">
        <v>13</v>
      </c>
      <c r="G7" s="13" t="s">
        <v>29</v>
      </c>
    </row>
    <row r="8" spans="2:7" ht="15.75" thickBot="1" x14ac:dyDescent="0.3">
      <c r="B8" s="23" t="s">
        <v>5</v>
      </c>
      <c r="C8" s="24"/>
      <c r="E8" s="4" t="s">
        <v>24</v>
      </c>
      <c r="F8" s="20" cm="1">
        <f t="array" ref="F8">IF(C17,TreeDelta(Py_Vol,Py_Rate,Py_Spot,Py_Div,Py_Price_Date,Py_Maturity,Py_DivExDate,Py_Strike,Py_Type_C_P,Py_Nat,Py_NbSteps,IF(OR(Py_Nat="UO",Py_Nat="DO"),Py_Barrier,"")),"")</f>
        <v>0.52954400045738881</v>
      </c>
      <c r="G8" s="21" cm="1">
        <f t="array" ref="G8">IF(C17,black_Schole_delta(C12,C9,YEARFRAC(C15,C10),C3,C4,C6/C5,C5),"")</f>
        <v>-0.45560317437293951</v>
      </c>
    </row>
    <row r="9" spans="2:7" x14ac:dyDescent="0.25">
      <c r="B9" s="2" t="s">
        <v>6</v>
      </c>
      <c r="C9" s="8">
        <v>100</v>
      </c>
      <c r="E9" s="4" t="s">
        <v>25</v>
      </c>
      <c r="F9" s="20" cm="1">
        <f t="array" ref="F9">IF(C17,TreeGamma(C3,C4,C5,C6,C15,C10,C7,C9,C11,C12,C16,Py_TreeDelta,IF(OR(Py_Nat="UO",Py_Nat="DO"),Py_Barrier,"")),"")</f>
        <v>3.5042213917174214E-2</v>
      </c>
      <c r="G9" s="21" cm="1">
        <f t="array" ref="G9">IF(C17,black_Schole_gamma(C12,C9,YEARFRAC(C15,C10),C3,C4,C6/C5,C5),"")</f>
        <v>1.9956012741626856E-2</v>
      </c>
    </row>
    <row r="10" spans="2:7" x14ac:dyDescent="0.25">
      <c r="B10" s="4" t="s">
        <v>7</v>
      </c>
      <c r="C10" s="15">
        <v>45023</v>
      </c>
      <c r="E10" s="4" t="s">
        <v>26</v>
      </c>
      <c r="F10" s="20" cm="1">
        <f t="array" ref="F10">IF(C17,TreeVega(Py_Vol,Py_Rate,Py_Spot,Py_Div,Py_Price_Date,Py_Maturity,Py_DivExDate,Py_Strike,Py_Type_C_P,Py_Nat,Py_NbSteps,Py_Price_Tree,IF(OR(Py_Nat="UO",Py_Nat="DO"),Py_Barrier,"")),"")</f>
        <v>0.30953145953405503</v>
      </c>
      <c r="G10" s="21" cm="1">
        <f t="array" ref="G10">IF(C17,black_Schole_vega(C11,C9,YEARFRAC(C15,C10),C3,C4,C6/C5,C5),"")</f>
        <v>0.31042686486975113</v>
      </c>
    </row>
    <row r="11" spans="2:7" x14ac:dyDescent="0.25">
      <c r="B11" s="4" t="s">
        <v>8</v>
      </c>
      <c r="C11" s="10" t="s">
        <v>9</v>
      </c>
      <c r="E11" s="4" t="s">
        <v>27</v>
      </c>
      <c r="F11" s="20" cm="1">
        <f t="array" ref="F11">IF(C17,TreeTheta(Py_Vol,Py_Rate,Py_Spot,Py_Div,Py_Price_Date,Py_Maturity,Py_DivExDate,Py_Strike,Py_Type_C_P,Py_Nat,Py_NbSteps,Py_Price_Tree,IF(OR(Py_Nat="UO",Py_Nat="DO"),Py_Barrier,"")),"")</f>
        <v>-2.2695863877721045E-2</v>
      </c>
      <c r="G11" s="21" cm="1">
        <f t="array" ref="G11">IF(C17,black_Schole_Theta(C3,C4,C5,C6,YEARFRAC(C15,C10),C9,C11),"")</f>
        <v>-6.0088160371048193E-7</v>
      </c>
    </row>
    <row r="12" spans="2:7" x14ac:dyDescent="0.25">
      <c r="B12" s="4" t="s">
        <v>38</v>
      </c>
      <c r="C12" s="10" t="s">
        <v>18</v>
      </c>
      <c r="E12" s="4" t="s">
        <v>28</v>
      </c>
      <c r="F12" s="20" cm="1">
        <f t="array" ref="F12">IF(C17,TreeRho(Py_Vol,Py_Rate,Py_Spot,Py_Div,Py_Price_Date,Py_Maturity,Py_DivExDate,Py_Strike,Py_Type_C_P,Py_Nat,Py_NbSteps,Py_Price_Tree,IF(OR(Py_Nat="UO",Py_Nat="DO"),Py_Barrier,"")),"")</f>
        <v>0.25457711756924528</v>
      </c>
      <c r="G12" s="21" cm="1">
        <f t="array" ref="G12">IF(C17,black_Schole_Rho(C3,C4,C5,C6,YEARFRAC(C15,C10),+C9,C11),"")</f>
        <v>4.320031804221527E-6</v>
      </c>
    </row>
    <row r="13" spans="2:7" ht="15.75" thickBot="1" x14ac:dyDescent="0.3">
      <c r="B13" s="4" t="s">
        <v>39</v>
      </c>
      <c r="C13" s="10">
        <v>1.1000000000000001</v>
      </c>
      <c r="E13" s="4"/>
      <c r="F13" s="11"/>
      <c r="G13" s="6"/>
    </row>
    <row r="14" spans="2:7" ht="15.75" thickBot="1" x14ac:dyDescent="0.3">
      <c r="B14" s="23" t="s">
        <v>10</v>
      </c>
      <c r="C14" s="24"/>
      <c r="E14" s="25" t="s">
        <v>37</v>
      </c>
      <c r="F14" s="26"/>
      <c r="G14" s="27"/>
    </row>
    <row r="15" spans="2:7" ht="15.75" thickBot="1" x14ac:dyDescent="0.3">
      <c r="B15" s="2" t="s">
        <v>11</v>
      </c>
      <c r="C15" s="16">
        <v>44796</v>
      </c>
      <c r="E15" s="4" t="s">
        <v>13</v>
      </c>
      <c r="F15" s="42" cm="1">
        <f t="array" ref="F15">Build_Price_Tree(Py_Vol,Py_Rate,Py_Spot,Py_Div,Py_Price_Date,Py_Maturity,Py_DivExDate,Py_Strike,Py_Type_C_P,Py_Nat,Py_NbSteps,FALSE,FALSE,TRUE,FALSE)</f>
        <v>0.35906362533569336</v>
      </c>
      <c r="G15" s="43"/>
    </row>
    <row r="16" spans="2:7" ht="15.75" thickBot="1" x14ac:dyDescent="0.3">
      <c r="B16" s="4" t="s">
        <v>12</v>
      </c>
      <c r="C16" s="6">
        <v>100</v>
      </c>
      <c r="E16" s="7" t="s">
        <v>32</v>
      </c>
      <c r="F16" s="39" cm="1">
        <f t="array" ref="F16">Build_Price_Tree(Py_Vol,Py_Rate,Py_Spot,Py_Div,Py_Price_Date,Py_Maturity,Py_DivExDate,Py_Strike,Py_Type_C_P,Py_Nat,Py_NbSteps,IF(OR(Py_Nat="UO",Py_Nat="DO"),Py_Barrier,""),FALSE,FALSE,TRUE)</f>
        <v>0.38523316383361816</v>
      </c>
      <c r="G16" s="40"/>
    </row>
    <row r="17" spans="2:11" ht="15.75" thickBot="1" x14ac:dyDescent="0.3">
      <c r="B17" s="7" t="s">
        <v>30</v>
      </c>
      <c r="C17" s="9" t="b">
        <v>1</v>
      </c>
    </row>
    <row r="19" spans="2:11" x14ac:dyDescent="0.25">
      <c r="K19" s="19"/>
    </row>
  </sheetData>
  <mergeCells count="11">
    <mergeCell ref="F16:G16"/>
    <mergeCell ref="B2:C2"/>
    <mergeCell ref="E2:G2"/>
    <mergeCell ref="F3:G3"/>
    <mergeCell ref="F4:G4"/>
    <mergeCell ref="F5:G5"/>
    <mergeCell ref="E6:G6"/>
    <mergeCell ref="B8:C8"/>
    <mergeCell ref="B14:C14"/>
    <mergeCell ref="E14:G14"/>
    <mergeCell ref="F15:G1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0C2856B-C3AD-4FD7-9F79-9BF6DA39FCBE}">
          <x14:formula1>
            <xm:f>Ref!$C$1:$C$2</xm:f>
          </x14:formula1>
          <xm:sqref>C17</xm:sqref>
        </x14:dataValidation>
        <x14:dataValidation type="list" allowBlank="1" showInputMessage="1" showErrorMessage="1" xr:uid="{687C5756-F049-4BA6-90A6-1958942B747F}">
          <x14:formula1>
            <xm:f>Ref!$B$1:$B$4</xm:f>
          </x14:formula1>
          <xm:sqref>C12</xm:sqref>
        </x14:dataValidation>
        <x14:dataValidation type="list" allowBlank="1" showInputMessage="1" showErrorMessage="1" xr:uid="{FAEB3F8A-F96E-424B-95CF-AEB80166A418}">
          <x14:formula1>
            <xm:f>Ref!$A$1:$A$4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3F88C-3545-45C6-8E12-E0629677D6B3}">
  <sheetPr codeName="Sheet3"/>
  <dimension ref="A5:CV58"/>
  <sheetViews>
    <sheetView showGridLines="0" topLeftCell="A23" workbookViewId="0">
      <selection activeCell="G51" sqref="G51"/>
    </sheetView>
  </sheetViews>
  <sheetFormatPr defaultRowHeight="15" x14ac:dyDescent="0.25"/>
  <cols>
    <col min="1" max="8" width="5.5703125" style="22" bestFit="1" customWidth="1"/>
    <col min="9" max="200" width="6.5703125" style="22" bestFit="1" customWidth="1"/>
    <col min="201" max="16384" width="9.140625" style="22"/>
  </cols>
  <sheetData>
    <row r="5" spans="29:100" x14ac:dyDescent="0.25">
      <c r="CU5" s="22">
        <v>0</v>
      </c>
      <c r="CV5" s="22">
        <v>0</v>
      </c>
    </row>
    <row r="6" spans="29:100" x14ac:dyDescent="0.25">
      <c r="CL6" s="22">
        <v>0</v>
      </c>
      <c r="CM6" s="22">
        <v>0</v>
      </c>
      <c r="CN6" s="22">
        <v>0</v>
      </c>
      <c r="CO6" s="22">
        <v>0</v>
      </c>
      <c r="CP6" s="22">
        <v>0</v>
      </c>
      <c r="CQ6" s="22">
        <v>0</v>
      </c>
      <c r="CR6" s="22">
        <v>0</v>
      </c>
      <c r="CS6" s="22">
        <v>0</v>
      </c>
      <c r="CT6" s="22">
        <v>0</v>
      </c>
      <c r="CU6" s="22">
        <v>0</v>
      </c>
      <c r="CV6" s="22">
        <v>0</v>
      </c>
    </row>
    <row r="7" spans="29:100" x14ac:dyDescent="0.25">
      <c r="CD7" s="22">
        <v>0</v>
      </c>
      <c r="CE7" s="22">
        <v>0</v>
      </c>
      <c r="CF7" s="22">
        <v>0</v>
      </c>
      <c r="CG7" s="22">
        <v>0</v>
      </c>
      <c r="CH7" s="22">
        <v>0</v>
      </c>
      <c r="CI7" s="22">
        <v>0</v>
      </c>
      <c r="CJ7" s="22">
        <v>0</v>
      </c>
      <c r="CK7" s="22">
        <v>0</v>
      </c>
      <c r="CL7" s="22">
        <v>0</v>
      </c>
      <c r="CM7" s="22">
        <v>0</v>
      </c>
      <c r="CN7" s="22">
        <v>0</v>
      </c>
      <c r="CO7" s="22">
        <v>0</v>
      </c>
      <c r="CP7" s="22">
        <v>0</v>
      </c>
      <c r="CQ7" s="22">
        <v>0</v>
      </c>
      <c r="CR7" s="22">
        <v>0</v>
      </c>
      <c r="CS7" s="22">
        <v>0</v>
      </c>
      <c r="CT7" s="22">
        <v>0</v>
      </c>
      <c r="CU7" s="22">
        <v>0</v>
      </c>
      <c r="CV7" s="22">
        <v>0</v>
      </c>
    </row>
    <row r="8" spans="29:100" x14ac:dyDescent="0.25"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0</v>
      </c>
      <c r="CB8" s="22">
        <v>0</v>
      </c>
      <c r="CC8" s="22">
        <v>0</v>
      </c>
      <c r="CD8" s="22">
        <v>0</v>
      </c>
      <c r="CE8" s="22">
        <v>0</v>
      </c>
      <c r="CF8" s="22">
        <v>0</v>
      </c>
      <c r="CG8" s="22">
        <v>0</v>
      </c>
      <c r="CH8" s="22">
        <v>0</v>
      </c>
      <c r="CI8" s="22">
        <v>0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2">
        <v>0</v>
      </c>
      <c r="CQ8" s="22">
        <v>0</v>
      </c>
      <c r="CR8" s="22">
        <v>0</v>
      </c>
      <c r="CS8" s="22">
        <v>0</v>
      </c>
      <c r="CT8" s="22">
        <v>0</v>
      </c>
      <c r="CU8" s="22">
        <v>0</v>
      </c>
      <c r="CV8" s="22">
        <v>0</v>
      </c>
    </row>
    <row r="9" spans="29:100" x14ac:dyDescent="0.25">
      <c r="BO9" s="22">
        <v>5.8470053543124492E-22</v>
      </c>
      <c r="BP9" s="22">
        <v>5.8475362865025779E-22</v>
      </c>
      <c r="BQ9" s="22">
        <v>5.8480672669035376E-22</v>
      </c>
      <c r="BR9" s="22">
        <v>5.8485982955197068E-22</v>
      </c>
      <c r="BS9" s="22">
        <v>5.8491293723554639E-22</v>
      </c>
      <c r="BT9" s="22">
        <v>5.8496604974151866E-22</v>
      </c>
      <c r="BU9" s="22">
        <v>5.8501916707032541E-22</v>
      </c>
      <c r="BV9" s="22">
        <v>0</v>
      </c>
      <c r="BW9" s="22">
        <v>0</v>
      </c>
      <c r="BX9" s="22">
        <v>0</v>
      </c>
      <c r="BY9" s="22">
        <v>0</v>
      </c>
      <c r="BZ9" s="22">
        <v>0</v>
      </c>
      <c r="CA9" s="22">
        <v>0</v>
      </c>
      <c r="CB9" s="22">
        <v>0</v>
      </c>
      <c r="CC9" s="22">
        <v>0</v>
      </c>
      <c r="CD9" s="22">
        <v>0</v>
      </c>
      <c r="CE9" s="22">
        <v>0</v>
      </c>
      <c r="CF9" s="22">
        <v>0</v>
      </c>
      <c r="CG9" s="22">
        <v>0</v>
      </c>
      <c r="CH9" s="22">
        <v>0</v>
      </c>
      <c r="CI9" s="22">
        <v>0</v>
      </c>
      <c r="CJ9" s="22">
        <v>0</v>
      </c>
      <c r="CK9" s="22">
        <v>0</v>
      </c>
      <c r="CL9" s="22">
        <v>0</v>
      </c>
      <c r="CM9" s="22">
        <v>0</v>
      </c>
      <c r="CN9" s="22">
        <v>0</v>
      </c>
      <c r="CO9" s="22">
        <v>0</v>
      </c>
      <c r="CP9" s="22">
        <v>0</v>
      </c>
      <c r="CQ9" s="22">
        <v>0</v>
      </c>
      <c r="CR9" s="22">
        <v>0</v>
      </c>
      <c r="CS9" s="22">
        <v>0</v>
      </c>
      <c r="CT9" s="22">
        <v>0</v>
      </c>
      <c r="CU9" s="22">
        <v>0</v>
      </c>
      <c r="CV9" s="22">
        <v>0</v>
      </c>
    </row>
    <row r="10" spans="29:100" x14ac:dyDescent="0.25">
      <c r="BH10" s="22">
        <v>4.2090702536308762E-15</v>
      </c>
      <c r="BI10" s="22">
        <v>4.2094524545615655E-15</v>
      </c>
      <c r="BJ10" s="22">
        <v>4.2098346901976751E-15</v>
      </c>
      <c r="BK10" s="22">
        <v>4.2102169605423558E-15</v>
      </c>
      <c r="BL10" s="22">
        <v>4.21059926559876E-15</v>
      </c>
      <c r="BM10" s="22">
        <v>4.2109816053700398E-15</v>
      </c>
      <c r="BN10" s="22">
        <v>4.2113639798593468E-15</v>
      </c>
      <c r="BO10" s="22">
        <v>1.373458510028465E-15</v>
      </c>
      <c r="BP10" s="22">
        <v>4.0503067609607181E-16</v>
      </c>
      <c r="BQ10" s="22">
        <v>1.0589781666998986E-16</v>
      </c>
      <c r="BR10" s="22">
        <v>2.3889373561995591E-17</v>
      </c>
      <c r="BS10" s="22">
        <v>4.46858161989857E-18</v>
      </c>
      <c r="BT10" s="22">
        <v>6.5051724113426286E-19</v>
      </c>
      <c r="BU10" s="22">
        <v>6.5566199335884473E-20</v>
      </c>
      <c r="BV10" s="22">
        <v>3.4372658080020873E-21</v>
      </c>
      <c r="BW10" s="22">
        <v>0</v>
      </c>
      <c r="BX10" s="22">
        <v>0</v>
      </c>
      <c r="BY10" s="22">
        <v>0</v>
      </c>
      <c r="BZ10" s="22">
        <v>0</v>
      </c>
      <c r="CA10" s="22">
        <v>0</v>
      </c>
      <c r="CB10" s="22">
        <v>0</v>
      </c>
      <c r="CC10" s="22">
        <v>0</v>
      </c>
      <c r="CD10" s="22">
        <v>0</v>
      </c>
      <c r="CE10" s="22">
        <v>0</v>
      </c>
      <c r="CF10" s="22">
        <v>0</v>
      </c>
      <c r="CG10" s="22">
        <v>0</v>
      </c>
      <c r="CH10" s="22">
        <v>0</v>
      </c>
      <c r="CI10" s="22">
        <v>0</v>
      </c>
      <c r="CJ10" s="22">
        <v>0</v>
      </c>
      <c r="CK10" s="22">
        <v>0</v>
      </c>
      <c r="CL10" s="22">
        <v>0</v>
      </c>
      <c r="CM10" s="22">
        <v>0</v>
      </c>
      <c r="CN10" s="22">
        <v>0</v>
      </c>
      <c r="CO10" s="22">
        <v>0</v>
      </c>
      <c r="CP10" s="22">
        <v>0</v>
      </c>
      <c r="CQ10" s="22">
        <v>0</v>
      </c>
      <c r="CR10" s="22">
        <v>0</v>
      </c>
      <c r="CS10" s="22">
        <v>0</v>
      </c>
      <c r="CT10" s="22">
        <v>0</v>
      </c>
      <c r="CU10" s="22">
        <v>0</v>
      </c>
      <c r="CV10" s="22">
        <v>0</v>
      </c>
    </row>
    <row r="11" spans="29:100" x14ac:dyDescent="0.25">
      <c r="BA11" s="22">
        <v>1.1960929995174969E-11</v>
      </c>
      <c r="BB11" s="22">
        <v>1.1962016096926805E-11</v>
      </c>
      <c r="BC11" s="22">
        <v>1.1963102297301158E-11</v>
      </c>
      <c r="BD11" s="22">
        <v>1.1964188596306982E-11</v>
      </c>
      <c r="BE11" s="22">
        <v>1.1965274993953233E-11</v>
      </c>
      <c r="BF11" s="22">
        <v>1.196636149024887E-11</v>
      </c>
      <c r="BG11" s="22">
        <v>1.1967448085202849E-11</v>
      </c>
      <c r="BH11" s="22">
        <v>6.3043564656856737E-12</v>
      </c>
      <c r="BI11" s="22">
        <v>3.2010793908141758E-12</v>
      </c>
      <c r="BJ11" s="22">
        <v>1.5608867926644543E-12</v>
      </c>
      <c r="BK11" s="22">
        <v>7.2784475055432902E-13</v>
      </c>
      <c r="BL11" s="22">
        <v>3.2297671976568427E-13</v>
      </c>
      <c r="BM11" s="22">
        <v>1.3552709231278852E-13</v>
      </c>
      <c r="BN11" s="22">
        <v>5.313933937732266E-14</v>
      </c>
      <c r="BO11" s="22">
        <v>1.9364840037379264E-14</v>
      </c>
      <c r="BP11" s="22">
        <v>6.4834849704932969E-15</v>
      </c>
      <c r="BQ11" s="22">
        <v>1.9650158036265396E-15</v>
      </c>
      <c r="BR11" s="22">
        <v>5.2864064951561192E-16</v>
      </c>
      <c r="BS11" s="22">
        <v>1.2286040082759044E-16</v>
      </c>
      <c r="BT11" s="22">
        <v>2.370683695801967E-17</v>
      </c>
      <c r="BU11" s="22">
        <v>3.5647580487622792E-18</v>
      </c>
      <c r="BV11" s="22">
        <v>3.7177111163720419E-19</v>
      </c>
      <c r="BW11" s="22">
        <v>2.0195571187916799E-20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2">
        <v>0</v>
      </c>
      <c r="CE11" s="22">
        <v>0</v>
      </c>
      <c r="CF11" s="22">
        <v>0</v>
      </c>
      <c r="CG11" s="22">
        <v>0</v>
      </c>
      <c r="CH11" s="22">
        <v>0</v>
      </c>
      <c r="CI11" s="22">
        <v>0</v>
      </c>
      <c r="CJ11" s="22">
        <v>0</v>
      </c>
      <c r="CK11" s="22">
        <v>0</v>
      </c>
      <c r="CL11" s="22">
        <v>0</v>
      </c>
      <c r="CM11" s="22">
        <v>0</v>
      </c>
      <c r="CN11" s="22">
        <v>0</v>
      </c>
      <c r="CO11" s="22">
        <v>0</v>
      </c>
      <c r="CP11" s="22">
        <v>0</v>
      </c>
      <c r="CQ11" s="22">
        <v>0</v>
      </c>
      <c r="CR11" s="22">
        <v>0</v>
      </c>
      <c r="CS11" s="22">
        <v>0</v>
      </c>
      <c r="CT11" s="22">
        <v>0</v>
      </c>
      <c r="CU11" s="22">
        <v>0</v>
      </c>
      <c r="CV11" s="22">
        <v>0</v>
      </c>
    </row>
    <row r="12" spans="29:100" x14ac:dyDescent="0.25">
      <c r="AW12" s="22">
        <v>2.3841354548432788E-9</v>
      </c>
      <c r="AX12" s="22">
        <v>2.3843519441710453E-9</v>
      </c>
      <c r="AY12" s="22">
        <v>2.3845684531569353E-9</v>
      </c>
      <c r="AZ12" s="22">
        <v>2.3847849818027338E-9</v>
      </c>
      <c r="BA12" s="22">
        <v>1.5701461454026859E-9</v>
      </c>
      <c r="BB12" s="22">
        <v>1.0151075777055828E-9</v>
      </c>
      <c r="BC12" s="22">
        <v>6.4366877381621431E-10</v>
      </c>
      <c r="BD12" s="22">
        <v>3.997823905645187E-10</v>
      </c>
      <c r="BE12" s="22">
        <v>2.4279324459655793E-10</v>
      </c>
      <c r="BF12" s="22">
        <v>1.4371088747660502E-10</v>
      </c>
      <c r="BG12" s="22">
        <v>8.2196623162413378E-11</v>
      </c>
      <c r="BH12" s="22">
        <v>4.5620433401646966E-11</v>
      </c>
      <c r="BI12" s="22">
        <v>2.4500553493203883E-11</v>
      </c>
      <c r="BJ12" s="22">
        <v>1.2690870438971902E-11</v>
      </c>
      <c r="BK12" s="22">
        <v>6.316431394525211E-12</v>
      </c>
      <c r="BL12" s="22">
        <v>3.0075122632819273E-12</v>
      </c>
      <c r="BM12" s="22">
        <v>1.3628354707527082E-12</v>
      </c>
      <c r="BN12" s="22">
        <v>5.8413755296943933E-13</v>
      </c>
      <c r="BO12" s="22">
        <v>2.3506305700116891E-13</v>
      </c>
      <c r="BP12" s="22">
        <v>8.7997871531090963E-14</v>
      </c>
      <c r="BQ12" s="22">
        <v>3.0296380330406586E-14</v>
      </c>
      <c r="BR12" s="22">
        <v>9.452167220781644E-15</v>
      </c>
      <c r="BS12" s="22">
        <v>2.620568947213459E-15</v>
      </c>
      <c r="BT12" s="22">
        <v>6.283957436939319E-16</v>
      </c>
      <c r="BU12" s="22">
        <v>1.252652971325174E-16</v>
      </c>
      <c r="BV12" s="22">
        <v>1.9485373035125245E-17</v>
      </c>
      <c r="BW12" s="22">
        <v>2.1052394245927916E-18</v>
      </c>
      <c r="BX12" s="22">
        <v>1.1865858458096263E-19</v>
      </c>
      <c r="BY12" s="22">
        <v>0</v>
      </c>
      <c r="BZ12" s="22">
        <v>0</v>
      </c>
      <c r="CA12" s="22">
        <v>0</v>
      </c>
      <c r="CB12" s="22">
        <v>0</v>
      </c>
      <c r="CC12" s="22">
        <v>0</v>
      </c>
      <c r="CD12" s="22">
        <v>0</v>
      </c>
      <c r="CE12" s="22">
        <v>0</v>
      </c>
      <c r="CF12" s="22">
        <v>0</v>
      </c>
      <c r="CG12" s="22">
        <v>0</v>
      </c>
      <c r="CH12" s="22">
        <v>0</v>
      </c>
      <c r="CI12" s="22">
        <v>0</v>
      </c>
      <c r="CJ12" s="22">
        <v>0</v>
      </c>
      <c r="CK12" s="22">
        <v>0</v>
      </c>
      <c r="CL12" s="22">
        <v>0</v>
      </c>
      <c r="CM12" s="22">
        <v>0</v>
      </c>
      <c r="CN12" s="22">
        <v>0</v>
      </c>
      <c r="CO12" s="22">
        <v>0</v>
      </c>
      <c r="CP12" s="22">
        <v>0</v>
      </c>
      <c r="CQ12" s="22">
        <v>0</v>
      </c>
      <c r="CR12" s="22">
        <v>0</v>
      </c>
      <c r="CS12" s="22">
        <v>0</v>
      </c>
      <c r="CT12" s="22">
        <v>0</v>
      </c>
      <c r="CU12" s="22">
        <v>0</v>
      </c>
      <c r="CV12" s="22">
        <v>0</v>
      </c>
    </row>
    <row r="13" spans="29:100" x14ac:dyDescent="0.25">
      <c r="AQ13" s="22">
        <v>4.5717455844910185E-8</v>
      </c>
      <c r="AR13" s="22">
        <v>4.572160717836859E-8</v>
      </c>
      <c r="AS13" s="22">
        <v>4.5725758888785191E-8</v>
      </c>
      <c r="AT13" s="22">
        <v>4.5729910976194213E-8</v>
      </c>
      <c r="AU13" s="22">
        <v>4.5734063440629889E-8</v>
      </c>
      <c r="AV13" s="22">
        <v>4.573821628212645E-8</v>
      </c>
      <c r="AW13" s="22">
        <v>3.3189381793339429E-8</v>
      </c>
      <c r="AX13" s="22">
        <v>2.3781518390548319E-8</v>
      </c>
      <c r="AY13" s="22">
        <v>1.6777543812036533E-8</v>
      </c>
      <c r="AZ13" s="22">
        <v>1.1568463605742736E-8</v>
      </c>
      <c r="BA13" s="22">
        <v>7.8510596193589987E-9</v>
      </c>
      <c r="BB13" s="22">
        <v>5.2383857285168688E-9</v>
      </c>
      <c r="BC13" s="22">
        <v>3.4319484412233956E-9</v>
      </c>
      <c r="BD13" s="22">
        <v>2.204708896241994E-9</v>
      </c>
      <c r="BE13" s="22">
        <v>1.3865816712955607E-9</v>
      </c>
      <c r="BF13" s="22">
        <v>8.5223457746580925E-10</v>
      </c>
      <c r="BG13" s="22">
        <v>5.1098811830182644E-10</v>
      </c>
      <c r="BH13" s="22">
        <v>2.9823589586386241E-10</v>
      </c>
      <c r="BI13" s="22">
        <v>1.6902075976040367E-10</v>
      </c>
      <c r="BJ13" s="22">
        <v>9.2754410776514148E-11</v>
      </c>
      <c r="BK13" s="22">
        <v>4.9129912949208271E-11</v>
      </c>
      <c r="BL13" s="22">
        <v>2.5024001284964756E-11</v>
      </c>
      <c r="BM13" s="22">
        <v>1.2203325626515044E-11</v>
      </c>
      <c r="BN13" s="22">
        <v>5.6686876782817737E-12</v>
      </c>
      <c r="BO13" s="22">
        <v>2.4929366681650274E-12</v>
      </c>
      <c r="BP13" s="22">
        <v>1.0302628748423332E-12</v>
      </c>
      <c r="BQ13" s="22">
        <v>3.9649485146294039E-13</v>
      </c>
      <c r="BR13" s="22">
        <v>1.4048101777309627E-13</v>
      </c>
      <c r="BS13" s="22">
        <v>4.5155173259643354E-14</v>
      </c>
      <c r="BT13" s="22">
        <v>1.2913354163511268E-14</v>
      </c>
      <c r="BU13" s="22">
        <v>3.1981255909763729E-15</v>
      </c>
      <c r="BV13" s="22">
        <v>6.5932553330019153E-16</v>
      </c>
      <c r="BW13" s="22">
        <v>1.0622164746291612E-16</v>
      </c>
      <c r="BX13" s="22">
        <v>1.1904575824101872E-17</v>
      </c>
      <c r="BY13" s="22">
        <v>6.9717561161040953E-19</v>
      </c>
      <c r="BZ13" s="22">
        <v>0</v>
      </c>
      <c r="CA13" s="22">
        <v>0</v>
      </c>
      <c r="CB13" s="22">
        <v>0</v>
      </c>
      <c r="CC13" s="22">
        <v>0</v>
      </c>
      <c r="CD13" s="22">
        <v>0</v>
      </c>
      <c r="CE13" s="22">
        <v>0</v>
      </c>
      <c r="CF13" s="22">
        <v>0</v>
      </c>
      <c r="CG13" s="22">
        <v>0</v>
      </c>
      <c r="CH13" s="22">
        <v>0</v>
      </c>
      <c r="CI13" s="22">
        <v>0</v>
      </c>
      <c r="CJ13" s="22">
        <v>0</v>
      </c>
      <c r="CK13" s="22">
        <v>0</v>
      </c>
      <c r="CL13" s="22">
        <v>0</v>
      </c>
      <c r="CM13" s="22">
        <v>0</v>
      </c>
      <c r="CN13" s="22">
        <v>0</v>
      </c>
      <c r="CO13" s="22">
        <v>0</v>
      </c>
      <c r="CP13" s="22">
        <v>0</v>
      </c>
      <c r="CQ13" s="22">
        <v>0</v>
      </c>
      <c r="CR13" s="22">
        <v>0</v>
      </c>
      <c r="CS13" s="22">
        <v>0</v>
      </c>
      <c r="CT13" s="22">
        <v>0</v>
      </c>
      <c r="CU13" s="22">
        <v>0</v>
      </c>
      <c r="CV13" s="22">
        <v>0</v>
      </c>
    </row>
    <row r="14" spans="29:100" x14ac:dyDescent="0.25">
      <c r="AL14" s="22">
        <v>7.2024055654904247E-7</v>
      </c>
      <c r="AM14" s="22">
        <v>7.2030595736072912E-7</v>
      </c>
      <c r="AN14" s="22">
        <v>7.2037136411107906E-7</v>
      </c>
      <c r="AO14" s="22">
        <v>7.2043677680063155E-7</v>
      </c>
      <c r="AP14" s="22">
        <v>7.2050219542992591E-7</v>
      </c>
      <c r="AQ14" s="22">
        <v>5.6570471751386154E-7</v>
      </c>
      <c r="AR14" s="22">
        <v>4.4063232049470874E-7</v>
      </c>
      <c r="AS14" s="22">
        <v>3.4006556929034544E-7</v>
      </c>
      <c r="AT14" s="22">
        <v>2.5936891197389296E-7</v>
      </c>
      <c r="AU14" s="22">
        <v>1.9432439641176756E-7</v>
      </c>
      <c r="AV14" s="22">
        <v>1.8477416074849404E-7</v>
      </c>
      <c r="AW14" s="22">
        <v>1.3646754336684215E-7</v>
      </c>
      <c r="AX14" s="22">
        <v>9.9581322984413671E-8</v>
      </c>
      <c r="AY14" s="22">
        <v>7.1735364232834399E-8</v>
      </c>
      <c r="AZ14" s="22">
        <v>5.0983985410389773E-8</v>
      </c>
      <c r="BA14" s="22">
        <v>3.5717683824139696E-8</v>
      </c>
      <c r="BB14" s="22">
        <v>2.4640340465169392E-8</v>
      </c>
      <c r="BC14" s="22">
        <v>1.6720318271869514E-8</v>
      </c>
      <c r="BD14" s="22">
        <v>1.1146713878796562E-8</v>
      </c>
      <c r="BE14" s="22">
        <v>7.2906500208536383E-9</v>
      </c>
      <c r="BF14" s="22">
        <v>4.6714273748605442E-9</v>
      </c>
      <c r="BG14" s="22">
        <v>2.9272879276148663E-9</v>
      </c>
      <c r="BH14" s="22">
        <v>1.7905741071705957E-9</v>
      </c>
      <c r="BI14" s="22">
        <v>1.0668491981672563E-9</v>
      </c>
      <c r="BJ14" s="22">
        <v>6.1765432982681008E-10</v>
      </c>
      <c r="BK14" s="22">
        <v>3.4651204141105196E-10</v>
      </c>
      <c r="BL14" s="22">
        <v>1.87776177962334E-10</v>
      </c>
      <c r="BM14" s="22">
        <v>9.7929158072187028E-11</v>
      </c>
      <c r="BN14" s="22">
        <v>4.8939896123259636E-11</v>
      </c>
      <c r="BO14" s="22">
        <v>2.3317724563887706E-11</v>
      </c>
      <c r="BP14" s="22">
        <v>1.0527977227586325E-11</v>
      </c>
      <c r="BQ14" s="22">
        <v>4.4714348463082449E-12</v>
      </c>
      <c r="BR14" s="22">
        <v>1.7703639865785549E-12</v>
      </c>
      <c r="BS14" s="22">
        <v>6.4603784596403303E-13</v>
      </c>
      <c r="BT14" s="22">
        <v>2.141326942306967E-13</v>
      </c>
      <c r="BU14" s="22">
        <v>6.3227081073220808E-14</v>
      </c>
      <c r="BV14" s="22">
        <v>1.6189689359037931E-14</v>
      </c>
      <c r="BW14" s="22">
        <v>3.455833253409713E-15</v>
      </c>
      <c r="BX14" s="22">
        <v>5.7736662210735698E-16</v>
      </c>
      <c r="BY14" s="22">
        <v>6.7214669919025347E-17</v>
      </c>
      <c r="BZ14" s="22">
        <v>4.0962382548285537E-18</v>
      </c>
      <c r="CA14" s="22">
        <v>0</v>
      </c>
      <c r="CB14" s="22">
        <v>0</v>
      </c>
      <c r="CC14" s="22">
        <v>0</v>
      </c>
      <c r="CD14" s="22">
        <v>0</v>
      </c>
      <c r="CE14" s="22">
        <v>0</v>
      </c>
      <c r="CF14" s="22">
        <v>0</v>
      </c>
      <c r="CG14" s="22">
        <v>0</v>
      </c>
      <c r="CH14" s="22">
        <v>0</v>
      </c>
      <c r="CI14" s="22">
        <v>0</v>
      </c>
      <c r="CJ14" s="22">
        <v>0</v>
      </c>
      <c r="CK14" s="22">
        <v>0</v>
      </c>
      <c r="CL14" s="22">
        <v>0</v>
      </c>
      <c r="CM14" s="22">
        <v>0</v>
      </c>
      <c r="CN14" s="22">
        <v>0</v>
      </c>
      <c r="CO14" s="22">
        <v>0</v>
      </c>
      <c r="CP14" s="22">
        <v>0</v>
      </c>
      <c r="CQ14" s="22">
        <v>0</v>
      </c>
      <c r="CR14" s="22">
        <v>0</v>
      </c>
      <c r="CS14" s="22">
        <v>0</v>
      </c>
      <c r="CT14" s="22">
        <v>0</v>
      </c>
      <c r="CU14" s="22">
        <v>0</v>
      </c>
      <c r="CV14" s="22">
        <v>0</v>
      </c>
    </row>
    <row r="15" spans="29:100" x14ac:dyDescent="0.25">
      <c r="AG15" s="22">
        <v>6.7955919382018073E-6</v>
      </c>
      <c r="AH15" s="22">
        <v>6.7962090059642485E-6</v>
      </c>
      <c r="AI15" s="22">
        <v>6.7968261297589865E-6</v>
      </c>
      <c r="AJ15" s="22">
        <v>6.7974433095911094E-6</v>
      </c>
      <c r="AK15" s="22">
        <v>6.7980605454657052E-6</v>
      </c>
      <c r="AL15" s="22">
        <v>5.6486375024831792E-6</v>
      </c>
      <c r="AM15" s="22">
        <v>4.6661831434615913E-6</v>
      </c>
      <c r="AN15" s="22">
        <v>3.8271976765084214E-6</v>
      </c>
      <c r="AO15" s="22">
        <v>3.1086800480530954E-6</v>
      </c>
      <c r="AP15" s="22">
        <v>2.486684766658753E-6</v>
      </c>
      <c r="AQ15" s="22">
        <v>1.9739780723938434E-6</v>
      </c>
      <c r="AR15" s="22">
        <v>1.5542908702126021E-6</v>
      </c>
      <c r="AS15" s="22">
        <v>1.213280302382086E-6</v>
      </c>
      <c r="AT15" s="22">
        <v>9.3843408617160821E-7</v>
      </c>
      <c r="AU15" s="22">
        <v>7.190350688052565E-7</v>
      </c>
      <c r="AV15" s="22">
        <v>6.8594591493027191E-7</v>
      </c>
      <c r="AW15" s="22">
        <v>5.1936773196778406E-7</v>
      </c>
      <c r="AX15" s="22">
        <v>3.8902065996813889E-7</v>
      </c>
      <c r="AY15" s="22">
        <v>2.8806476450388611E-7</v>
      </c>
      <c r="AZ15" s="22">
        <v>2.1071934795064377E-7</v>
      </c>
      <c r="BA15" s="22">
        <v>1.5214662559371492E-7</v>
      </c>
      <c r="BB15" s="22">
        <v>1.0833697046891765E-7</v>
      </c>
      <c r="BC15" s="22">
        <v>7.6001442321919923E-8</v>
      </c>
      <c r="BD15" s="22">
        <v>5.2472093897441415E-8</v>
      </c>
      <c r="BE15" s="22">
        <v>3.5610422049481443E-8</v>
      </c>
      <c r="BF15" s="22">
        <v>2.3724198168580529E-8</v>
      </c>
      <c r="BG15" s="22">
        <v>1.5492777075085623E-8</v>
      </c>
      <c r="BH15" s="22">
        <v>9.9008275481436653E-9</v>
      </c>
      <c r="BI15" s="22">
        <v>6.180309825462588E-9</v>
      </c>
      <c r="BJ15" s="22">
        <v>3.7603893669822631E-9</v>
      </c>
      <c r="BK15" s="22">
        <v>2.2248589940790054E-9</v>
      </c>
      <c r="BL15" s="22">
        <v>1.2765402047909613E-9</v>
      </c>
      <c r="BM15" s="22">
        <v>7.080526431627221E-10</v>
      </c>
      <c r="BN15" s="22">
        <v>3.7828124322889172E-10</v>
      </c>
      <c r="BO15" s="22">
        <v>1.9383536738658337E-10</v>
      </c>
      <c r="BP15" s="22">
        <v>9.4784004735069598E-11</v>
      </c>
      <c r="BQ15" s="22">
        <v>4.3965147717851499E-11</v>
      </c>
      <c r="BR15" s="22">
        <v>1.920379936406536E-11</v>
      </c>
      <c r="BS15" s="22">
        <v>7.8283428067976929E-12</v>
      </c>
      <c r="BT15" s="22">
        <v>2.9447850973179832E-12</v>
      </c>
      <c r="BU15" s="22">
        <v>1.0074471513418373E-12</v>
      </c>
      <c r="BV15" s="22">
        <v>3.0745286655237544E-13</v>
      </c>
      <c r="BW15" s="22">
        <v>8.1486093853373387E-14</v>
      </c>
      <c r="BX15" s="22">
        <v>1.8032090084300487E-14</v>
      </c>
      <c r="BY15" s="22">
        <v>3.1283998967018752E-15</v>
      </c>
      <c r="BZ15" s="22">
        <v>3.7887590249423895E-16</v>
      </c>
      <c r="CA15" s="22">
        <v>2.406734768240471E-17</v>
      </c>
      <c r="CB15" s="22">
        <v>0</v>
      </c>
      <c r="CC15" s="22">
        <v>0</v>
      </c>
      <c r="CD15" s="22">
        <v>0</v>
      </c>
      <c r="CE15" s="22">
        <v>0</v>
      </c>
      <c r="CF15" s="22">
        <v>0</v>
      </c>
      <c r="CG15" s="22">
        <v>0</v>
      </c>
      <c r="CH15" s="22">
        <v>0</v>
      </c>
      <c r="CI15" s="22">
        <v>0</v>
      </c>
      <c r="CJ15" s="22">
        <v>0</v>
      </c>
      <c r="CK15" s="22">
        <v>0</v>
      </c>
      <c r="CL15" s="22">
        <v>0</v>
      </c>
      <c r="CM15" s="22">
        <v>0</v>
      </c>
      <c r="CN15" s="22">
        <v>0</v>
      </c>
      <c r="CO15" s="22">
        <v>0</v>
      </c>
      <c r="CP15" s="22">
        <v>0</v>
      </c>
      <c r="CQ15" s="22">
        <v>0</v>
      </c>
      <c r="CR15" s="22">
        <v>0</v>
      </c>
      <c r="CS15" s="22">
        <v>0</v>
      </c>
      <c r="CT15" s="22">
        <v>0</v>
      </c>
      <c r="CU15" s="22">
        <v>0</v>
      </c>
      <c r="CV15" s="22">
        <v>0</v>
      </c>
    </row>
    <row r="16" spans="29:100" x14ac:dyDescent="0.25">
      <c r="AC16" s="22">
        <v>4.4759483490404996E-5</v>
      </c>
      <c r="AD16" s="22">
        <v>4.4763547836024427E-5</v>
      </c>
      <c r="AE16" s="22">
        <v>4.4767612550703195E-5</v>
      </c>
      <c r="AF16" s="22">
        <v>4.4771677634474814E-5</v>
      </c>
      <c r="AG16" s="22">
        <v>3.8795526222834937E-5</v>
      </c>
      <c r="AH16" s="22">
        <v>3.3464865093606725E-5</v>
      </c>
      <c r="AI16" s="22">
        <v>2.8700903764021939E-5</v>
      </c>
      <c r="AJ16" s="22">
        <v>2.4416927948793101E-5</v>
      </c>
      <c r="AK16" s="22">
        <v>2.0507805033945283E-5</v>
      </c>
      <c r="AL16" s="22">
        <v>1.7129447450571401E-5</v>
      </c>
      <c r="AM16" s="22">
        <v>1.4223599482840829E-5</v>
      </c>
      <c r="AN16" s="22">
        <v>1.1736899493566356E-5</v>
      </c>
      <c r="AO16" s="22">
        <v>9.6213548920479253E-6</v>
      </c>
      <c r="AP16" s="22">
        <v>7.8356021487351845E-6</v>
      </c>
      <c r="AQ16" s="22">
        <v>6.3374056916439366E-6</v>
      </c>
      <c r="AR16" s="22">
        <v>5.0885414055214951E-6</v>
      </c>
      <c r="AS16" s="22">
        <v>4.0545954556284369E-6</v>
      </c>
      <c r="AT16" s="22">
        <v>3.2047427063132545E-6</v>
      </c>
      <c r="AU16" s="22">
        <v>2.5114828743446593E-6</v>
      </c>
      <c r="AV16" s="22">
        <v>2.4055163084861033E-6</v>
      </c>
      <c r="AW16" s="22">
        <v>1.8654211568399372E-6</v>
      </c>
      <c r="AX16" s="22">
        <v>1.4325374336169695E-6</v>
      </c>
      <c r="AY16" s="22">
        <v>1.0887569374794399E-6</v>
      </c>
      <c r="AZ16" s="22">
        <v>8.1839609877630739E-7</v>
      </c>
      <c r="BA16" s="22">
        <v>6.0797984057047963E-7</v>
      </c>
      <c r="BB16" s="22">
        <v>4.4602939197832638E-7</v>
      </c>
      <c r="BC16" s="22">
        <v>3.2285581726419412E-7</v>
      </c>
      <c r="BD16" s="22">
        <v>2.3036094379702003E-7</v>
      </c>
      <c r="BE16" s="22">
        <v>1.6184725565679639E-7</v>
      </c>
      <c r="BF16" s="22">
        <v>1.1183816743047078E-7</v>
      </c>
      <c r="BG16" s="22">
        <v>7.5909905320282635E-8</v>
      </c>
      <c r="BH16" s="22">
        <v>5.0536007508940192E-8</v>
      </c>
      <c r="BI16" s="22">
        <v>3.2945210419294844E-8</v>
      </c>
      <c r="BJ16" s="22">
        <v>2.0993222730486203E-8</v>
      </c>
      <c r="BK16" s="22">
        <v>1.3048611207388228E-8</v>
      </c>
      <c r="BL16" s="22">
        <v>7.8927404972470221E-9</v>
      </c>
      <c r="BM16" s="22">
        <v>4.6334330063551318E-9</v>
      </c>
      <c r="BN16" s="22">
        <v>2.631755344999468E-9</v>
      </c>
      <c r="BO16" s="22">
        <v>1.441105196035832E-9</v>
      </c>
      <c r="BP16" s="22">
        <v>7.5757673931320283E-10</v>
      </c>
      <c r="BQ16" s="22">
        <v>3.8043245308906108E-10</v>
      </c>
      <c r="BR16" s="22">
        <v>1.8141053185631391E-10</v>
      </c>
      <c r="BS16" s="22">
        <v>8.1553734528853132E-11</v>
      </c>
      <c r="BT16" s="22">
        <v>3.4257198996933763E-11</v>
      </c>
      <c r="BU16" s="22">
        <v>1.329590109082185E-11</v>
      </c>
      <c r="BV16" s="22">
        <v>4.6996227365963461E-12</v>
      </c>
      <c r="BW16" s="22">
        <v>1.48399206621643E-12</v>
      </c>
      <c r="BX16" s="22">
        <v>4.0759635495221457E-13</v>
      </c>
      <c r="BY16" s="22">
        <v>9.3630805718560929E-14</v>
      </c>
      <c r="BZ16" s="22">
        <v>1.6893104939591443E-14</v>
      </c>
      <c r="CA16" s="22">
        <v>2.1318202705447459E-15</v>
      </c>
      <c r="CB16" s="22">
        <v>1.414071126802645E-16</v>
      </c>
      <c r="CC16" s="22">
        <v>0</v>
      </c>
      <c r="CD16" s="22">
        <v>0</v>
      </c>
      <c r="CE16" s="22">
        <v>0</v>
      </c>
      <c r="CF16" s="22">
        <v>0</v>
      </c>
      <c r="CG16" s="22">
        <v>0</v>
      </c>
      <c r="CH16" s="22">
        <v>0</v>
      </c>
      <c r="CI16" s="22">
        <v>0</v>
      </c>
      <c r="CJ16" s="22">
        <v>0</v>
      </c>
      <c r="CK16" s="22">
        <v>0</v>
      </c>
      <c r="CL16" s="22">
        <v>0</v>
      </c>
      <c r="CM16" s="22">
        <v>0</v>
      </c>
      <c r="CN16" s="22">
        <v>0</v>
      </c>
      <c r="CO16" s="22">
        <v>0</v>
      </c>
      <c r="CP16" s="22">
        <v>0</v>
      </c>
      <c r="CQ16" s="22">
        <v>0</v>
      </c>
      <c r="CR16" s="22">
        <v>0</v>
      </c>
      <c r="CS16" s="22">
        <v>0</v>
      </c>
      <c r="CT16" s="22">
        <v>0</v>
      </c>
      <c r="CU16" s="22">
        <v>0</v>
      </c>
      <c r="CV16" s="22">
        <v>0</v>
      </c>
    </row>
    <row r="17" spans="1:100" x14ac:dyDescent="0.25">
      <c r="Y17" s="22">
        <v>1.9873293009978175E-4</v>
      </c>
      <c r="Z17" s="22">
        <v>1.9875097586910035E-4</v>
      </c>
      <c r="AA17" s="22">
        <v>1.9876902327704919E-4</v>
      </c>
      <c r="AB17" s="22">
        <v>1.9878707232377706E-4</v>
      </c>
      <c r="AC17" s="22">
        <v>1.7713695022524253E-4</v>
      </c>
      <c r="AD17" s="22">
        <v>1.5708857277377207E-4</v>
      </c>
      <c r="AE17" s="22">
        <v>1.3835942756918148E-4</v>
      </c>
      <c r="AF17" s="22">
        <v>1.2055218263794648E-4</v>
      </c>
      <c r="AG17" s="22">
        <v>1.046042745540921E-4</v>
      </c>
      <c r="AH17" s="22">
        <v>9.036761343752415E-5</v>
      </c>
      <c r="AI17" s="22">
        <v>7.7704127618572245E-5</v>
      </c>
      <c r="AJ17" s="22">
        <v>6.6490487848932674E-5</v>
      </c>
      <c r="AK17" s="22">
        <v>5.6628941142152574E-5</v>
      </c>
      <c r="AL17" s="22">
        <v>4.7993613142893248E-5</v>
      </c>
      <c r="AM17" s="22">
        <v>4.0466220152779655E-5</v>
      </c>
      <c r="AN17" s="22">
        <v>3.3935991292197334E-5</v>
      </c>
      <c r="AO17" s="22">
        <v>2.8299405635635766E-5</v>
      </c>
      <c r="AP17" s="22">
        <v>2.345943166943315E-5</v>
      </c>
      <c r="AQ17" s="22">
        <v>1.9326209901505344E-5</v>
      </c>
      <c r="AR17" s="22">
        <v>1.5816880400946691E-5</v>
      </c>
      <c r="AS17" s="22">
        <v>1.2855383610574202E-5</v>
      </c>
      <c r="AT17" s="22">
        <v>1.0372237830852822E-5</v>
      </c>
      <c r="AU17" s="22">
        <v>8.3043046137397909E-6</v>
      </c>
      <c r="AV17" s="22">
        <v>7.980341381362435E-6</v>
      </c>
      <c r="AW17" s="22">
        <v>6.3300666938255369E-6</v>
      </c>
      <c r="AX17" s="22">
        <v>4.9770205447632977E-6</v>
      </c>
      <c r="AY17" s="22">
        <v>3.8767597650370267E-6</v>
      </c>
      <c r="AZ17" s="22">
        <v>2.9898536041648493E-6</v>
      </c>
      <c r="BA17" s="22">
        <v>2.2815640938476754E-6</v>
      </c>
      <c r="BB17" s="22">
        <v>1.7215171280145228E-6</v>
      </c>
      <c r="BC17" s="22">
        <v>1.2833673971442383E-6</v>
      </c>
      <c r="BD17" s="22">
        <v>9.4446047355643267E-7</v>
      </c>
      <c r="BE17" s="22">
        <v>6.8549544835383599E-7</v>
      </c>
      <c r="BF17" s="22">
        <v>4.9019156105068293E-7</v>
      </c>
      <c r="BG17" s="22">
        <v>3.4496223210325716E-7</v>
      </c>
      <c r="BH17" s="22">
        <v>2.3859979963926814E-7</v>
      </c>
      <c r="BI17" s="22">
        <v>1.6197407106242801E-7</v>
      </c>
      <c r="BJ17" s="22">
        <v>1.0774752628077544E-7</v>
      </c>
      <c r="BK17" s="22">
        <v>7.0109653928171566E-8</v>
      </c>
      <c r="BL17" s="22">
        <v>4.4532470860137515E-8</v>
      </c>
      <c r="BM17" s="22">
        <v>2.7548778392582562E-8</v>
      </c>
      <c r="BN17" s="22">
        <v>1.6554160655498756E-8</v>
      </c>
      <c r="BO17" s="22">
        <v>9.6331498271028845E-9</v>
      </c>
      <c r="BP17" s="22">
        <v>5.409392532434469E-9</v>
      </c>
      <c r="BQ17" s="22">
        <v>2.9190769217312925E-9</v>
      </c>
      <c r="BR17" s="22">
        <v>1.5063480440968078E-9</v>
      </c>
      <c r="BS17" s="22">
        <v>7.3897699500486622E-10</v>
      </c>
      <c r="BT17" s="22">
        <v>3.4218137158893109E-10</v>
      </c>
      <c r="BU17" s="22">
        <v>1.4824036970176074E-10</v>
      </c>
      <c r="BV17" s="22">
        <v>5.9419712311778269E-11</v>
      </c>
      <c r="BW17" s="22">
        <v>2.1722593361990135E-11</v>
      </c>
      <c r="BX17" s="22">
        <v>7.105589010672899E-12</v>
      </c>
      <c r="BY17" s="22">
        <v>2.0251337861982334E-12</v>
      </c>
      <c r="BZ17" s="22">
        <v>4.836032357356879E-13</v>
      </c>
      <c r="CA17" s="22">
        <v>9.0883028628096781E-14</v>
      </c>
      <c r="CB17" s="22">
        <v>1.1971660047247468E-14</v>
      </c>
      <c r="CC17" s="22">
        <v>8.3083403208521348E-16</v>
      </c>
      <c r="CD17" s="22">
        <v>0</v>
      </c>
      <c r="CE17" s="22">
        <v>0</v>
      </c>
      <c r="CF17" s="22">
        <v>0</v>
      </c>
      <c r="CG17" s="22">
        <v>0</v>
      </c>
      <c r="CH17" s="22">
        <v>0</v>
      </c>
      <c r="CI17" s="22">
        <v>0</v>
      </c>
      <c r="CJ17" s="22">
        <v>0</v>
      </c>
      <c r="CK17" s="22">
        <v>0</v>
      </c>
      <c r="CL17" s="22">
        <v>0</v>
      </c>
      <c r="CM17" s="22">
        <v>0</v>
      </c>
      <c r="CN17" s="22">
        <v>0</v>
      </c>
      <c r="CO17" s="22">
        <v>0</v>
      </c>
      <c r="CP17" s="22">
        <v>0</v>
      </c>
      <c r="CQ17" s="22">
        <v>0</v>
      </c>
      <c r="CR17" s="22">
        <v>0</v>
      </c>
      <c r="CS17" s="22">
        <v>0</v>
      </c>
      <c r="CT17" s="22">
        <v>0</v>
      </c>
      <c r="CU17" s="22">
        <v>0</v>
      </c>
      <c r="CV17" s="22">
        <v>0</v>
      </c>
    </row>
    <row r="18" spans="1:100" x14ac:dyDescent="0.25">
      <c r="U18" s="22">
        <v>7.272101331934844E-4</v>
      </c>
      <c r="V18" s="22">
        <v>7.2727616687146197E-4</v>
      </c>
      <c r="W18" s="22">
        <v>7.2734220654556978E-4</v>
      </c>
      <c r="X18" s="22">
        <v>7.2740825221635221E-4</v>
      </c>
      <c r="Y18" s="22">
        <v>6.6278458583814267E-4</v>
      </c>
      <c r="Z18" s="22">
        <v>6.0136107721390478E-4</v>
      </c>
      <c r="AA18" s="22">
        <v>5.4234052701285771E-4</v>
      </c>
      <c r="AB18" s="22">
        <v>4.844809197925361E-4</v>
      </c>
      <c r="AC18" s="22">
        <v>4.3133400954773995E-4</v>
      </c>
      <c r="AD18" s="22">
        <v>3.8264153961493392E-4</v>
      </c>
      <c r="AE18" s="22">
        <v>3.3819352364570311E-4</v>
      </c>
      <c r="AF18" s="22">
        <v>2.9788615258709088E-4</v>
      </c>
      <c r="AG18" s="22">
        <v>2.6144626543969359E-4</v>
      </c>
      <c r="AH18" s="22">
        <v>2.2861027710009078E-4</v>
      </c>
      <c r="AI18" s="22">
        <v>1.9912435320549186E-4</v>
      </c>
      <c r="AJ18" s="22">
        <v>1.7274338066530467E-4</v>
      </c>
      <c r="AK18" s="22">
        <v>1.4922635579736506E-4</v>
      </c>
      <c r="AL18" s="22">
        <v>1.2834244108046397E-4</v>
      </c>
      <c r="AM18" s="22">
        <v>1.0987114782773472E-4</v>
      </c>
      <c r="AN18" s="22">
        <v>9.3602471854479496E-5</v>
      </c>
      <c r="AO18" s="22">
        <v>7.9337010301537444E-5</v>
      </c>
      <c r="AP18" s="22">
        <v>6.6886187862308158E-5</v>
      </c>
      <c r="AQ18" s="22">
        <v>5.6072305506923376E-5</v>
      </c>
      <c r="AR18" s="22">
        <v>4.6728545201721426E-5</v>
      </c>
      <c r="AS18" s="22">
        <v>3.8698929556035397E-5</v>
      </c>
      <c r="AT18" s="22">
        <v>3.1838235358296026E-5</v>
      </c>
      <c r="AU18" s="22">
        <v>2.6011857909689424E-5</v>
      </c>
      <c r="AV18" s="22">
        <v>2.506354686514669E-5</v>
      </c>
      <c r="AW18" s="22">
        <v>2.0309426988957922E-5</v>
      </c>
      <c r="AX18" s="22">
        <v>1.6327227040870264E-5</v>
      </c>
      <c r="AY18" s="22">
        <v>1.3015978709565516E-5</v>
      </c>
      <c r="AZ18" s="22">
        <v>1.02840156824125E-5</v>
      </c>
      <c r="BA18" s="22">
        <v>8.0486264028585587E-6</v>
      </c>
      <c r="BB18" s="22">
        <v>6.2356676186289248E-6</v>
      </c>
      <c r="BC18" s="22">
        <v>4.7791419746976652E-6</v>
      </c>
      <c r="BD18" s="22">
        <v>3.6207435623350157E-6</v>
      </c>
      <c r="BE18" s="22">
        <v>2.7093759737665782E-6</v>
      </c>
      <c r="BF18" s="22">
        <v>2.0006480108710237E-6</v>
      </c>
      <c r="BG18" s="22">
        <v>1.4563527336747118E-6</v>
      </c>
      <c r="BH18" s="22">
        <v>1.0439359863122184E-6</v>
      </c>
      <c r="BI18" s="22">
        <v>7.3596087973719627E-7</v>
      </c>
      <c r="BJ18" s="22">
        <v>5.0957491715829651E-7</v>
      </c>
      <c r="BK18" s="22">
        <v>3.4598649677800287E-7</v>
      </c>
      <c r="BL18" s="22">
        <v>2.2995739692785001E-7</v>
      </c>
      <c r="BM18" s="22">
        <v>1.4931752613192619E-7</v>
      </c>
      <c r="BN18" s="22">
        <v>9.4507697036139707E-8</v>
      </c>
      <c r="BO18" s="22">
        <v>5.8155459665552305E-8</v>
      </c>
      <c r="BP18" s="22">
        <v>3.4688118275445285E-8</v>
      </c>
      <c r="BQ18" s="22">
        <v>1.9985981780284652E-8</v>
      </c>
      <c r="BR18" s="22">
        <v>1.1077698306265708E-8</v>
      </c>
      <c r="BS18" s="22">
        <v>5.8782507579318608E-9</v>
      </c>
      <c r="BT18" s="22">
        <v>2.9689047746127275E-9</v>
      </c>
      <c r="BU18" s="22">
        <v>1.4171736067165925E-9</v>
      </c>
      <c r="BV18" s="22">
        <v>6.3377000297158005E-10</v>
      </c>
      <c r="BW18" s="22">
        <v>2.62623521461819E-10</v>
      </c>
      <c r="BX18" s="22">
        <v>9.9411965394389776E-11</v>
      </c>
      <c r="BY18" s="22">
        <v>3.3727854390967167E-11</v>
      </c>
      <c r="BZ18" s="22">
        <v>9.9884772802823268E-12</v>
      </c>
      <c r="CA18" s="22">
        <v>2.4834269015093347E-12</v>
      </c>
      <c r="CB18" s="22">
        <v>4.8696041103783721E-13</v>
      </c>
      <c r="CC18" s="22">
        <v>6.7085370302959943E-14</v>
      </c>
      <c r="CD18" s="22">
        <v>4.8815450353743996E-15</v>
      </c>
      <c r="CE18" s="22">
        <v>0</v>
      </c>
      <c r="CF18" s="22">
        <v>0</v>
      </c>
      <c r="CG18" s="22">
        <v>0</v>
      </c>
      <c r="CH18" s="22">
        <v>0</v>
      </c>
      <c r="CI18" s="22">
        <v>0</v>
      </c>
      <c r="CJ18" s="22">
        <v>0</v>
      </c>
      <c r="CK18" s="22">
        <v>0</v>
      </c>
      <c r="CL18" s="22">
        <v>0</v>
      </c>
      <c r="CM18" s="22">
        <v>0</v>
      </c>
      <c r="CN18" s="22">
        <v>0</v>
      </c>
      <c r="CO18" s="22">
        <v>0</v>
      </c>
      <c r="CP18" s="22">
        <v>0</v>
      </c>
      <c r="CQ18" s="22">
        <v>0</v>
      </c>
      <c r="CR18" s="22">
        <v>0</v>
      </c>
      <c r="CS18" s="22">
        <v>0</v>
      </c>
      <c r="CT18" s="22">
        <v>0</v>
      </c>
      <c r="CU18" s="22">
        <v>0</v>
      </c>
      <c r="CV18" s="22">
        <v>0</v>
      </c>
    </row>
    <row r="19" spans="1:100" x14ac:dyDescent="0.25">
      <c r="R19" s="22">
        <v>2.2782314303208392E-3</v>
      </c>
      <c r="S19" s="22">
        <v>2.2784383031265957E-3</v>
      </c>
      <c r="T19" s="22">
        <v>2.2786451947172559E-3</v>
      </c>
      <c r="U19" s="22">
        <v>2.1134121043049751E-3</v>
      </c>
      <c r="V19" s="22">
        <v>1.952924209206843E-3</v>
      </c>
      <c r="W19" s="22">
        <v>1.7950832034156006E-3</v>
      </c>
      <c r="X19" s="22">
        <v>1.6364146555992334E-3</v>
      </c>
      <c r="Y19" s="22">
        <v>1.4876755126709306E-3</v>
      </c>
      <c r="Z19" s="22">
        <v>1.3485185612181695E-3</v>
      </c>
      <c r="AA19" s="22">
        <v>1.2187532634276908E-3</v>
      </c>
      <c r="AB19" s="22">
        <v>1.0985598443339021E-3</v>
      </c>
      <c r="AC19" s="22">
        <v>9.8750224415437198E-4</v>
      </c>
      <c r="AD19" s="22">
        <v>8.8515345173986379E-4</v>
      </c>
      <c r="AE19" s="22">
        <v>7.9108928155441794E-4</v>
      </c>
      <c r="AF19" s="22">
        <v>7.0486339981942943E-4</v>
      </c>
      <c r="AG19" s="22">
        <v>6.260370372507142E-4</v>
      </c>
      <c r="AH19" s="22">
        <v>5.5417949080306575E-4</v>
      </c>
      <c r="AI19" s="22">
        <v>4.8886852968146172E-4</v>
      </c>
      <c r="AJ19" s="22">
        <v>4.2969092572289102E-4</v>
      </c>
      <c r="AK19" s="22">
        <v>3.7624408100968022E-4</v>
      </c>
      <c r="AL19" s="22">
        <v>3.2813668555259118E-4</v>
      </c>
      <c r="AM19" s="22">
        <v>2.8498935442938263E-4</v>
      </c>
      <c r="AN19" s="22">
        <v>2.4643524437261728E-4</v>
      </c>
      <c r="AO19" s="22">
        <v>2.1212064534719576E-4</v>
      </c>
      <c r="AP19" s="22">
        <v>1.8170551002187873E-4</v>
      </c>
      <c r="AQ19" s="22">
        <v>1.5486393778681753E-4</v>
      </c>
      <c r="AR19" s="22">
        <v>1.31284607869856E-4</v>
      </c>
      <c r="AS19" s="22">
        <v>1.1067115604466781E-4</v>
      </c>
      <c r="AT19" s="22">
        <v>9.2742489463123584E-5</v>
      </c>
      <c r="AU19" s="22">
        <v>7.7233034848851043E-5</v>
      </c>
      <c r="AV19" s="22">
        <v>7.4570773136793748E-5</v>
      </c>
      <c r="AW19" s="22">
        <v>6.1653671508155058E-5</v>
      </c>
      <c r="AX19" s="22">
        <v>5.0613628600241065E-5</v>
      </c>
      <c r="AY19" s="22">
        <v>4.1238988649500754E-5</v>
      </c>
      <c r="AZ19" s="22">
        <v>3.3333309466711684E-5</v>
      </c>
      <c r="BA19" s="22">
        <v>2.6715234163925691E-5</v>
      </c>
      <c r="BB19" s="22">
        <v>2.1218279718729908E-5</v>
      </c>
      <c r="BC19" s="22">
        <v>1.6690541870124693E-5</v>
      </c>
      <c r="BD19" s="22">
        <v>1.2994316986026227E-5</v>
      </c>
      <c r="BE19" s="22">
        <v>1.0005642806066798E-5</v>
      </c>
      <c r="BF19" s="22">
        <v>7.6137613286262455E-6</v>
      </c>
      <c r="BG19" s="22">
        <v>5.7205085552028241E-6</v>
      </c>
      <c r="BH19" s="22">
        <v>4.2396372968673912E-6</v>
      </c>
      <c r="BI19" s="22">
        <v>3.096080747518845E-6</v>
      </c>
      <c r="BJ19" s="22">
        <v>2.2251659889860469E-6</v>
      </c>
      <c r="BK19" s="22">
        <v>1.5717879577286084E-6</v>
      </c>
      <c r="BL19" s="22">
        <v>1.0895556087990871E-6</v>
      </c>
      <c r="BM19" s="22">
        <v>7.3992299146730339E-7</v>
      </c>
      <c r="BN19" s="22">
        <v>4.9131863167811075E-7</v>
      </c>
      <c r="BO19" s="22">
        <v>3.1828693008238921E-7</v>
      </c>
      <c r="BP19" s="22">
        <v>2.0065516823335749E-7</v>
      </c>
      <c r="BQ19" s="22">
        <v>1.2273912003154823E-7</v>
      </c>
      <c r="BR19" s="22">
        <v>7.2599160886449809E-8</v>
      </c>
      <c r="BS19" s="22">
        <v>4.1357150852269403E-8</v>
      </c>
      <c r="BT19" s="22">
        <v>2.2582271892656653E-8</v>
      </c>
      <c r="BU19" s="22">
        <v>1.1751494834210509E-8</v>
      </c>
      <c r="BV19" s="22">
        <v>5.78755229832853E-9</v>
      </c>
      <c r="BW19" s="22">
        <v>2.6743547100446827E-9</v>
      </c>
      <c r="BX19" s="22">
        <v>1.1468959266986832E-9</v>
      </c>
      <c r="BY19" s="22">
        <v>4.5006164480998253E-10</v>
      </c>
      <c r="BZ19" s="22">
        <v>1.5858536224151458E-10</v>
      </c>
      <c r="CA19" s="22">
        <v>4.8873997966475645E-11</v>
      </c>
      <c r="CB19" s="22">
        <v>1.2672737168282259E-11</v>
      </c>
      <c r="CC19" s="22">
        <v>2.5975986697292138E-12</v>
      </c>
      <c r="CD19" s="22">
        <v>3.7504068028429796E-13</v>
      </c>
      <c r="CE19" s="22">
        <v>2.8681398464843803E-14</v>
      </c>
      <c r="CF19" s="22">
        <v>0</v>
      </c>
      <c r="CG19" s="22">
        <v>0</v>
      </c>
      <c r="CH19" s="22">
        <v>0</v>
      </c>
      <c r="CI19" s="22">
        <v>0</v>
      </c>
      <c r="CJ19" s="22">
        <v>0</v>
      </c>
      <c r="CK19" s="22">
        <v>0</v>
      </c>
      <c r="CL19" s="22">
        <v>0</v>
      </c>
      <c r="CM19" s="22">
        <v>0</v>
      </c>
      <c r="CN19" s="22">
        <v>0</v>
      </c>
      <c r="CO19" s="22">
        <v>0</v>
      </c>
      <c r="CP19" s="22">
        <v>0</v>
      </c>
      <c r="CQ19" s="22">
        <v>0</v>
      </c>
      <c r="CR19" s="22">
        <v>0</v>
      </c>
      <c r="CS19" s="22">
        <v>0</v>
      </c>
      <c r="CT19" s="22">
        <v>0</v>
      </c>
      <c r="CU19" s="22">
        <v>0</v>
      </c>
      <c r="CV19" s="22">
        <v>0</v>
      </c>
    </row>
    <row r="20" spans="1:100" x14ac:dyDescent="0.25">
      <c r="O20" s="22">
        <v>5.8840339080190804E-3</v>
      </c>
      <c r="P20" s="22">
        <v>5.8845682025545337E-3</v>
      </c>
      <c r="Q20" s="22">
        <v>5.8851025456061329E-3</v>
      </c>
      <c r="R20" s="22">
        <v>5.5187454164310513E-3</v>
      </c>
      <c r="S20" s="22">
        <v>5.1512503423907464E-3</v>
      </c>
      <c r="T20" s="22">
        <v>4.7738938633360506E-3</v>
      </c>
      <c r="U20" s="22">
        <v>4.4141836910326351E-3</v>
      </c>
      <c r="V20" s="22">
        <v>4.0718219840069139E-3</v>
      </c>
      <c r="W20" s="22">
        <v>3.7469744414804036E-3</v>
      </c>
      <c r="X20" s="22">
        <v>3.4409195594938577E-3</v>
      </c>
      <c r="Y20" s="22">
        <v>3.1531275146866513E-3</v>
      </c>
      <c r="Z20" s="22">
        <v>2.883080671224802E-3</v>
      </c>
      <c r="AA20" s="22">
        <v>2.630249395209621E-3</v>
      </c>
      <c r="AB20" s="22">
        <v>2.3939989676603616E-3</v>
      </c>
      <c r="AC20" s="22">
        <v>2.1736913213643602E-3</v>
      </c>
      <c r="AD20" s="22">
        <v>1.9686842833336105E-3</v>
      </c>
      <c r="AE20" s="22">
        <v>1.7783315073500684E-3</v>
      </c>
      <c r="AF20" s="22">
        <v>1.6019882068198054E-3</v>
      </c>
      <c r="AG20" s="22">
        <v>1.4390121803353906E-3</v>
      </c>
      <c r="AH20" s="22">
        <v>1.2887649018756264E-3</v>
      </c>
      <c r="AI20" s="22">
        <v>1.1506127111145289E-3</v>
      </c>
      <c r="AJ20" s="22">
        <v>1.0239281086265061E-3</v>
      </c>
      <c r="AK20" s="22">
        <v>9.0809091881244503E-4</v>
      </c>
      <c r="AL20" s="22">
        <v>8.0248947115510536E-4</v>
      </c>
      <c r="AM20" s="22">
        <v>7.065217940594497E-4</v>
      </c>
      <c r="AN20" s="22">
        <v>6.1959681352763212E-4</v>
      </c>
      <c r="AO20" s="22">
        <v>5.4113554710139792E-4</v>
      </c>
      <c r="AP20" s="22">
        <v>4.7057228921006361E-4</v>
      </c>
      <c r="AQ20" s="22">
        <v>4.0735577978539362E-4</v>
      </c>
      <c r="AR20" s="22">
        <v>3.5095034734109045E-4</v>
      </c>
      <c r="AS20" s="22">
        <v>3.0083701710395148E-4</v>
      </c>
      <c r="AT20" s="22">
        <v>2.5651457424910313E-4</v>
      </c>
      <c r="AU20" s="22">
        <v>2.1750057173054309E-4</v>
      </c>
      <c r="AV20" s="22">
        <v>2.1032443211965691E-4</v>
      </c>
      <c r="AW20" s="22">
        <v>1.7721350661329611E-4</v>
      </c>
      <c r="AX20" s="22">
        <v>1.4837327281084684E-4</v>
      </c>
      <c r="AY20" s="22">
        <v>1.2339619543092362E-4</v>
      </c>
      <c r="AZ20" s="22">
        <v>1.0189590174806156E-4</v>
      </c>
      <c r="BA20" s="22">
        <v>8.3507742826401503E-5</v>
      </c>
      <c r="BB20" s="22">
        <v>6.7889238363241512E-5</v>
      </c>
      <c r="BC20" s="22">
        <v>5.4720395052163526E-5</v>
      </c>
      <c r="BD20" s="22">
        <v>4.3703889239247136E-5</v>
      </c>
      <c r="BE20" s="22">
        <v>3.4565105816192727E-5</v>
      </c>
      <c r="BF20" s="22">
        <v>2.7052026797346576E-5</v>
      </c>
      <c r="BG20" s="22">
        <v>2.0934964879045511E-5</v>
      </c>
      <c r="BH20" s="22">
        <v>1.6006139489308395E-5</v>
      </c>
      <c r="BI20" s="22">
        <v>1.207909539850898E-5</v>
      </c>
      <c r="BJ20" s="22">
        <v>8.9879668571944149E-6</v>
      </c>
      <c r="BK20" s="22">
        <v>6.5865934162650565E-6</v>
      </c>
      <c r="BL20" s="22">
        <v>4.7474970042816211E-6</v>
      </c>
      <c r="BM20" s="22">
        <v>3.360733398179959E-6</v>
      </c>
      <c r="BN20" s="22">
        <v>2.3326348100081838E-6</v>
      </c>
      <c r="BO20" s="22">
        <v>1.5844637776133959E-6</v>
      </c>
      <c r="BP20" s="22">
        <v>1.0510017179371434E-6</v>
      </c>
      <c r="BQ20" s="22">
        <v>6.7909818118547306E-7</v>
      </c>
      <c r="BR20" s="22">
        <v>4.2620882106746502E-7</v>
      </c>
      <c r="BS20" s="22">
        <v>2.5895115671944558E-7</v>
      </c>
      <c r="BT20" s="22">
        <v>1.5170714726187302E-7</v>
      </c>
      <c r="BU20" s="22">
        <v>8.5300269246094636E-8</v>
      </c>
      <c r="BV20" s="22">
        <v>4.5772083571985108E-8</v>
      </c>
      <c r="BW20" s="22">
        <v>2.327919704334522E-8</v>
      </c>
      <c r="BX20" s="22">
        <v>1.112617862098396E-8</v>
      </c>
      <c r="BY20" s="22">
        <v>4.9436344801187243E-9</v>
      </c>
      <c r="BZ20" s="22">
        <v>2.0136775588306416E-9</v>
      </c>
      <c r="CA20" s="22">
        <v>7.3797677593307046E-10</v>
      </c>
      <c r="CB20" s="22">
        <v>2.3706047564510214E-10</v>
      </c>
      <c r="CC20" s="22">
        <v>6.4220978815713067E-11</v>
      </c>
      <c r="CD20" s="22">
        <v>1.3788662533105033E-11</v>
      </c>
      <c r="CE20" s="22">
        <v>2.0912163415234258E-12</v>
      </c>
      <c r="CF20" s="22">
        <v>1.685168552042359E-13</v>
      </c>
      <c r="CG20" s="22">
        <v>0</v>
      </c>
      <c r="CH20" s="22">
        <v>0</v>
      </c>
      <c r="CI20" s="22">
        <v>0</v>
      </c>
      <c r="CJ20" s="22">
        <v>0</v>
      </c>
      <c r="CK20" s="22">
        <v>0</v>
      </c>
      <c r="CL20" s="22">
        <v>0</v>
      </c>
      <c r="CM20" s="22">
        <v>0</v>
      </c>
      <c r="CN20" s="22">
        <v>0</v>
      </c>
      <c r="CO20" s="22">
        <v>0</v>
      </c>
      <c r="CP20" s="22">
        <v>0</v>
      </c>
      <c r="CQ20" s="22">
        <v>0</v>
      </c>
      <c r="CR20" s="22">
        <v>0</v>
      </c>
      <c r="CS20" s="22">
        <v>0</v>
      </c>
      <c r="CT20" s="22">
        <v>0</v>
      </c>
      <c r="CU20" s="22">
        <v>0</v>
      </c>
      <c r="CV20" s="22">
        <v>0</v>
      </c>
    </row>
    <row r="21" spans="1:100" x14ac:dyDescent="0.25">
      <c r="M21" s="22">
        <v>1.3741710357759186E-2</v>
      </c>
      <c r="N21" s="22">
        <v>1.3742958161709113E-2</v>
      </c>
      <c r="O21" s="22">
        <v>1.302361046732315E-2</v>
      </c>
      <c r="P21" s="22">
        <v>1.2289734227314908E-2</v>
      </c>
      <c r="Q21" s="22">
        <v>1.152187842145294E-2</v>
      </c>
      <c r="R21" s="22">
        <v>1.0780587153709905E-2</v>
      </c>
      <c r="S21" s="22">
        <v>1.0067100803051676E-2</v>
      </c>
      <c r="T21" s="22">
        <v>9.3855490459252445E-3</v>
      </c>
      <c r="U21" s="22">
        <v>8.7355396887989264E-3</v>
      </c>
      <c r="V21" s="22">
        <v>8.1167195790352933E-3</v>
      </c>
      <c r="W21" s="22">
        <v>7.5287012706386439E-3</v>
      </c>
      <c r="X21" s="22">
        <v>6.9707819146497896E-3</v>
      </c>
      <c r="Y21" s="22">
        <v>6.4422365787185926E-3</v>
      </c>
      <c r="Z21" s="22">
        <v>5.9423123754399317E-3</v>
      </c>
      <c r="AA21" s="22">
        <v>5.4702248232562957E-3</v>
      </c>
      <c r="AB21" s="22">
        <v>5.0251750794015979E-3</v>
      </c>
      <c r="AC21" s="22">
        <v>4.6063507632469929E-3</v>
      </c>
      <c r="AD21" s="22">
        <v>4.2129272272351699E-3</v>
      </c>
      <c r="AE21" s="22">
        <v>3.8440693355479998E-3</v>
      </c>
      <c r="AF21" s="22">
        <v>3.4989325560767981E-3</v>
      </c>
      <c r="AG21" s="22">
        <v>3.1766641444191182E-3</v>
      </c>
      <c r="AH21" s="22">
        <v>2.8764044189792705E-3</v>
      </c>
      <c r="AI21" s="22">
        <v>2.5972881155595625E-3</v>
      </c>
      <c r="AJ21" s="22">
        <v>2.3384458000999253E-3</v>
      </c>
      <c r="AK21" s="22">
        <v>2.0990053639801738E-3</v>
      </c>
      <c r="AL21" s="22">
        <v>1.8780936001082118E-3</v>
      </c>
      <c r="AM21" s="22">
        <v>1.6748378571135219E-3</v>
      </c>
      <c r="AN21" s="22">
        <v>1.4883677682477814E-3</v>
      </c>
      <c r="AO21" s="22">
        <v>1.3178170512006084E-3</v>
      </c>
      <c r="AP21" s="22">
        <v>1.1623253733033553E-3</v>
      </c>
      <c r="AQ21" s="22">
        <v>1.0210402753411986E-3</v>
      </c>
      <c r="AR21" s="22">
        <v>8.9311914584914683E-4</v>
      </c>
      <c r="AS21" s="22">
        <v>7.7773123632023837E-4</v>
      </c>
      <c r="AT21" s="22">
        <v>6.7405970621455598E-4</v>
      </c>
      <c r="AU21" s="22">
        <v>5.8130368504954013E-4</v>
      </c>
      <c r="AV21" s="22">
        <v>5.6272053299091828E-4</v>
      </c>
      <c r="AW21" s="22">
        <v>4.8262679869324614E-4</v>
      </c>
      <c r="AX21" s="22">
        <v>4.1161546971187589E-4</v>
      </c>
      <c r="AY21" s="22">
        <v>3.4897060069128614E-4</v>
      </c>
      <c r="AZ21" s="22">
        <v>2.9399920420614128E-4</v>
      </c>
      <c r="BA21" s="22">
        <v>2.4603309438802257E-4</v>
      </c>
      <c r="BB21" s="22">
        <v>2.0443064496691599E-4</v>
      </c>
      <c r="BC21" s="22">
        <v>1.6857843900934527E-4</v>
      </c>
      <c r="BD21" s="22">
        <v>1.3789278659075572E-4</v>
      </c>
      <c r="BE21" s="22">
        <v>1.1182108591495508E-4</v>
      </c>
      <c r="BF21" s="22">
        <v>8.9843003079737718E-5</v>
      </c>
      <c r="BG21" s="22">
        <v>7.1471445879342041E-5</v>
      </c>
      <c r="BH21" s="22">
        <v>5.6253307832519598E-5</v>
      </c>
      <c r="BI21" s="22">
        <v>4.3769960132050539E-5</v>
      </c>
      <c r="BJ21" s="22">
        <v>3.3637471528211459E-5</v>
      </c>
      <c r="BK21" s="22">
        <v>2.5506539374359015E-5</v>
      </c>
      <c r="BL21" s="22">
        <v>1.9062119251457431E-5</v>
      </c>
      <c r="BM21" s="22">
        <v>1.402274579367586E-5</v>
      </c>
      <c r="BN21" s="22">
        <v>1.0139543564890856E-5</v>
      </c>
      <c r="BO21" s="22">
        <v>7.1949340353939189E-6</v>
      </c>
      <c r="BP21" s="22">
        <v>5.0010527622046853E-6</v>
      </c>
      <c r="BQ21" s="22">
        <v>3.3978995825085828E-6</v>
      </c>
      <c r="BR21" s="22">
        <v>2.2512536903192686E-6</v>
      </c>
      <c r="BS21" s="22">
        <v>1.4503944781709924E-6</v>
      </c>
      <c r="BT21" s="22">
        <v>9.0567747958635751E-7</v>
      </c>
      <c r="BU21" s="22">
        <v>5.4602203920162163E-7</v>
      </c>
      <c r="BV21" s="22">
        <v>3.1637279088982344E-7</v>
      </c>
      <c r="BW21" s="22">
        <v>1.7519994057086143E-7</v>
      </c>
      <c r="BX21" s="22">
        <v>9.2103074265429677E-8</v>
      </c>
      <c r="BY21" s="22">
        <v>4.557922335584569E-8</v>
      </c>
      <c r="BZ21" s="22">
        <v>2.100794405157051E-8</v>
      </c>
      <c r="CA21" s="22">
        <v>8.8942970910504737E-9</v>
      </c>
      <c r="CB21" s="22">
        <v>3.3954077851695579E-9</v>
      </c>
      <c r="CC21" s="22">
        <v>1.1388420009974874E-9</v>
      </c>
      <c r="CD21" s="22">
        <v>3.2296823411936363E-10</v>
      </c>
      <c r="CE21" s="22">
        <v>7.2797548782697324E-11</v>
      </c>
      <c r="CF21" s="22">
        <v>1.1626921785698632E-11</v>
      </c>
      <c r="CG21" s="22">
        <v>9.9011666124800673E-13</v>
      </c>
      <c r="CH21" s="22">
        <v>0</v>
      </c>
      <c r="CI21" s="22">
        <v>0</v>
      </c>
      <c r="CJ21" s="22">
        <v>0</v>
      </c>
      <c r="CK21" s="22">
        <v>0</v>
      </c>
      <c r="CL21" s="22">
        <v>0</v>
      </c>
      <c r="CM21" s="22">
        <v>0</v>
      </c>
      <c r="CN21" s="22">
        <v>0</v>
      </c>
      <c r="CO21" s="22">
        <v>0</v>
      </c>
      <c r="CP21" s="22">
        <v>0</v>
      </c>
      <c r="CQ21" s="22">
        <v>0</v>
      </c>
      <c r="CR21" s="22">
        <v>0</v>
      </c>
      <c r="CS21" s="22">
        <v>0</v>
      </c>
      <c r="CT21" s="22">
        <v>0</v>
      </c>
      <c r="CU21" s="22">
        <v>0</v>
      </c>
      <c r="CV21" s="22">
        <v>0</v>
      </c>
    </row>
    <row r="22" spans="1:100" x14ac:dyDescent="0.25">
      <c r="K22" s="22">
        <v>2.8254916771718364E-2</v>
      </c>
      <c r="L22" s="22">
        <v>2.825748243464057E-2</v>
      </c>
      <c r="M22" s="22">
        <v>2.6916415627030205E-2</v>
      </c>
      <c r="N22" s="22">
        <v>2.5491686093267983E-2</v>
      </c>
      <c r="O22" s="22">
        <v>2.4101107010634001E-2</v>
      </c>
      <c r="P22" s="22">
        <v>2.2748191231428655E-2</v>
      </c>
      <c r="Q22" s="22">
        <v>2.1442988699618998E-2</v>
      </c>
      <c r="R22" s="22">
        <v>2.0185808664857492E-2</v>
      </c>
      <c r="S22" s="22">
        <v>1.897690535754485E-2</v>
      </c>
      <c r="T22" s="22">
        <v>1.7815755751006523E-2</v>
      </c>
      <c r="U22" s="22">
        <v>1.6701790569601825E-2</v>
      </c>
      <c r="V22" s="22">
        <v>1.5634374066887804E-2</v>
      </c>
      <c r="W22" s="22">
        <v>1.461278983178E-2</v>
      </c>
      <c r="X22" s="22">
        <v>1.3636288454082499E-2</v>
      </c>
      <c r="Y22" s="22">
        <v>1.2704087332541933E-2</v>
      </c>
      <c r="Z22" s="22">
        <v>1.1815371913847104E-2</v>
      </c>
      <c r="AA22" s="22">
        <v>1.0969298630184967E-2</v>
      </c>
      <c r="AB22" s="22">
        <v>1.0164995261557792E-2</v>
      </c>
      <c r="AC22" s="22">
        <v>9.4015614375002783E-3</v>
      </c>
      <c r="AD22" s="22">
        <v>8.6780692233969746E-3</v>
      </c>
      <c r="AE22" s="22">
        <v>7.9935636866382189E-3</v>
      </c>
      <c r="AF22" s="22">
        <v>7.3470635750596857E-3</v>
      </c>
      <c r="AG22" s="22">
        <v>6.7375621127565982E-3</v>
      </c>
      <c r="AH22" s="22">
        <v>6.1640279178251075E-3</v>
      </c>
      <c r="AI22" s="22">
        <v>5.6254060481174149E-3</v>
      </c>
      <c r="AJ22" s="22">
        <v>5.1206191857513829E-3</v>
      </c>
      <c r="AK22" s="22">
        <v>4.6485689667370997E-3</v>
      </c>
      <c r="AL22" s="22">
        <v>4.208137461736418E-3</v>
      </c>
      <c r="AM22" s="22">
        <v>3.7981888135324247E-3</v>
      </c>
      <c r="AN22" s="22">
        <v>3.4175710361876886E-3</v>
      </c>
      <c r="AO22" s="22">
        <v>3.065117979953434E-3</v>
      </c>
      <c r="AP22" s="22">
        <v>2.7396514649999297E-3</v>
      </c>
      <c r="AQ22" s="22">
        <v>2.4399835858351219E-3</v>
      </c>
      <c r="AR22" s="22">
        <v>2.1649191868492743E-3</v>
      </c>
      <c r="AS22" s="22">
        <v>1.9132585077457835E-3</v>
      </c>
      <c r="AT22" s="22">
        <v>1.6837999956834705E-3</v>
      </c>
      <c r="AU22" s="22">
        <v>1.4753432787256763E-3</v>
      </c>
      <c r="AV22" s="22">
        <v>1.4291120780681585E-3</v>
      </c>
      <c r="AW22" s="22">
        <v>1.2462439767515138E-3</v>
      </c>
      <c r="AX22" s="22">
        <v>1.081405861253316E-3</v>
      </c>
      <c r="AY22" s="22">
        <v>9.3346208100616068E-4</v>
      </c>
      <c r="AZ22" s="22">
        <v>8.0129046753011724E-4</v>
      </c>
      <c r="BA22" s="22">
        <v>6.8378578531259947E-4</v>
      </c>
      <c r="BB22" s="22">
        <v>5.7986325248441718E-4</v>
      </c>
      <c r="BC22" s="22">
        <v>4.884621040331913E-4</v>
      </c>
      <c r="BD22" s="22">
        <v>4.0854916598947035E-4</v>
      </c>
      <c r="BE22" s="22">
        <v>3.3912240458879435E-4</v>
      </c>
      <c r="BF22" s="22">
        <v>2.7921440994748542E-4</v>
      </c>
      <c r="BG22" s="22">
        <v>2.2789576942022337E-4</v>
      </c>
      <c r="BH22" s="22">
        <v>1.8427828168982477E-4</v>
      </c>
      <c r="BI22" s="22">
        <v>1.4751795896894405E-4</v>
      </c>
      <c r="BJ22" s="22">
        <v>1.1681776170194521E-4</v>
      </c>
      <c r="BK22" s="22">
        <v>9.1430008113033612E-5</v>
      </c>
      <c r="BL22" s="22">
        <v>7.0658400161124817E-5</v>
      </c>
      <c r="BM22" s="22">
        <v>5.3859608269530055E-5</v>
      </c>
      <c r="BN22" s="22">
        <v>4.0444359957606014E-5</v>
      </c>
      <c r="BO22" s="22">
        <v>2.9877982571796142E-5</v>
      </c>
      <c r="BP22" s="22">
        <v>2.1680358034220485E-5</v>
      </c>
      <c r="BQ22" s="22">
        <v>1.5425258182153068E-5</v>
      </c>
      <c r="BR22" s="22">
        <v>1.0739043046012425E-5</v>
      </c>
      <c r="BS22" s="22">
        <v>7.2987213386372231E-6</v>
      </c>
      <c r="BT22" s="22">
        <v>4.8293923210537496E-6</v>
      </c>
      <c r="BU22" s="22">
        <v>3.101110601646379E-6</v>
      </c>
      <c r="BV22" s="22">
        <v>1.9252394988731018E-6</v>
      </c>
      <c r="BW22" s="22">
        <v>1.1503831302879317E-6</v>
      </c>
      <c r="BX22" s="22">
        <v>6.5801073095237055E-7</v>
      </c>
      <c r="BY22" s="22">
        <v>3.5790679533714471E-7</v>
      </c>
      <c r="BZ22" s="22">
        <v>1.8359511461250791E-7</v>
      </c>
      <c r="CA22" s="22">
        <v>8.7891173835490398E-8</v>
      </c>
      <c r="CB22" s="22">
        <v>3.873341861518348E-8</v>
      </c>
      <c r="CC22" s="22">
        <v>1.5427984492269446E-8</v>
      </c>
      <c r="CD22" s="22">
        <v>5.4131682025097207E-9</v>
      </c>
      <c r="CE22" s="22">
        <v>1.6104876232436827E-9</v>
      </c>
      <c r="CF22" s="22">
        <v>3.8202373995693615E-10</v>
      </c>
      <c r="CG22" s="22">
        <v>6.4436064730685278E-11</v>
      </c>
      <c r="CH22" s="22">
        <v>5.8174062273618585E-12</v>
      </c>
      <c r="CI22" s="22">
        <v>0</v>
      </c>
      <c r="CJ22" s="22">
        <v>0</v>
      </c>
      <c r="CK22" s="22">
        <v>0</v>
      </c>
      <c r="CL22" s="22">
        <v>0</v>
      </c>
      <c r="CM22" s="22">
        <v>0</v>
      </c>
      <c r="CN22" s="22">
        <v>0</v>
      </c>
      <c r="CO22" s="22">
        <v>0</v>
      </c>
      <c r="CP22" s="22">
        <v>0</v>
      </c>
      <c r="CQ22" s="22">
        <v>0</v>
      </c>
      <c r="CR22" s="22">
        <v>0</v>
      </c>
      <c r="CS22" s="22">
        <v>0</v>
      </c>
      <c r="CT22" s="22">
        <v>0</v>
      </c>
      <c r="CU22" s="22">
        <v>0</v>
      </c>
      <c r="CV22" s="22">
        <v>0</v>
      </c>
    </row>
    <row r="23" spans="1:100" x14ac:dyDescent="0.25">
      <c r="I23" s="22">
        <v>5.4439347572881637E-2</v>
      </c>
      <c r="J23" s="22">
        <v>5.4444290890064459E-2</v>
      </c>
      <c r="K23" s="22">
        <v>5.2212219411864748E-2</v>
      </c>
      <c r="L23" s="22">
        <v>4.9804194725666211E-2</v>
      </c>
      <c r="M23" s="22">
        <v>4.7439528013961681E-2</v>
      </c>
      <c r="N23" s="22">
        <v>4.5138646672384243E-2</v>
      </c>
      <c r="O23" s="22">
        <v>4.2903229357379613E-2</v>
      </c>
      <c r="P23" s="22">
        <v>4.0734887166280098E-2</v>
      </c>
      <c r="Q23" s="22">
        <v>3.8633546675781581E-2</v>
      </c>
      <c r="R23" s="22">
        <v>3.6599007034654518E-2</v>
      </c>
      <c r="S23" s="22">
        <v>3.4630900545518616E-2</v>
      </c>
      <c r="T23" s="22">
        <v>3.2728810549702864E-2</v>
      </c>
      <c r="U23" s="22">
        <v>3.0892269450624402E-2</v>
      </c>
      <c r="V23" s="22">
        <v>2.9120760814210653E-2</v>
      </c>
      <c r="W23" s="22">
        <v>2.7413726442502701E-2</v>
      </c>
      <c r="X23" s="22">
        <v>2.5770565777121474E-2</v>
      </c>
      <c r="Y23" s="22">
        <v>2.4190635530824216E-2</v>
      </c>
      <c r="Z23" s="22">
        <v>2.2673249336004033E-2</v>
      </c>
      <c r="AA23" s="22">
        <v>2.1217677008402845E-2</v>
      </c>
      <c r="AB23" s="22">
        <v>1.9823143868095517E-2</v>
      </c>
      <c r="AC23" s="22">
        <v>1.8488830114118785E-2</v>
      </c>
      <c r="AD23" s="22">
        <v>1.7213870257756007E-2</v>
      </c>
      <c r="AE23" s="22">
        <v>1.5997352645133259E-2</v>
      </c>
      <c r="AF23" s="22">
        <v>1.4838319079888501E-2</v>
      </c>
      <c r="AG23" s="22">
        <v>1.3735764557663946E-2</v>
      </c>
      <c r="AH23" s="22">
        <v>1.2688637125388929E-2</v>
      </c>
      <c r="AI23" s="22">
        <v>1.1695837879406239E-2</v>
      </c>
      <c r="AJ23" s="22">
        <v>1.0756221116569105E-2</v>
      </c>
      <c r="AK23" s="22">
        <v>9.8685946531411432E-3</v>
      </c>
      <c r="AL23" s="22">
        <v>9.0317203269802311E-3</v>
      </c>
      <c r="AM23" s="22">
        <v>8.2443146991001571E-3</v>
      </c>
      <c r="AN23" s="22">
        <v>7.5050499711495425E-3</v>
      </c>
      <c r="AO23" s="22">
        <v>6.8125551357535617E-3</v>
      </c>
      <c r="AP23" s="22">
        <v>6.165417376893665E-3</v>
      </c>
      <c r="AQ23" s="22">
        <v>5.5621837375311482E-3</v>
      </c>
      <c r="AR23" s="22">
        <v>5.0013630715280916E-3</v>
      </c>
      <c r="AS23" s="22">
        <v>4.4814282964569466E-3</v>
      </c>
      <c r="AT23" s="22">
        <v>4.0008189631177433E-3</v>
      </c>
      <c r="AU23" s="22">
        <v>3.5579441564502026E-3</v>
      </c>
      <c r="AV23" s="22">
        <v>3.4475061415375641E-3</v>
      </c>
      <c r="AW23" s="22">
        <v>3.053353675589779E-3</v>
      </c>
      <c r="AX23" s="22">
        <v>2.6925499873032299E-3</v>
      </c>
      <c r="AY23" s="22">
        <v>2.3634970042030342E-3</v>
      </c>
      <c r="AZ23" s="22">
        <v>2.0645813300695873E-3</v>
      </c>
      <c r="BA23" s="22">
        <v>1.7941786922485434E-3</v>
      </c>
      <c r="BB23" s="22">
        <v>1.5506587437909846E-3</v>
      </c>
      <c r="BC23" s="22">
        <v>1.3323902129085674E-3</v>
      </c>
      <c r="BD23" s="22">
        <v>1.1377463859825214E-3</v>
      </c>
      <c r="BE23" s="22">
        <v>9.651109031173637E-4</v>
      </c>
      <c r="BF23" s="22">
        <v>8.1288383697982543E-4</v>
      </c>
      <c r="BG23" s="22">
        <v>6.7948801635510413E-4</v>
      </c>
      <c r="BH23" s="22">
        <v>5.6337554554074828E-4</v>
      </c>
      <c r="BI23" s="22">
        <v>4.6303445943526823E-4</v>
      </c>
      <c r="BJ23" s="22">
        <v>3.7699544210697145E-4</v>
      </c>
      <c r="BK23" s="22">
        <v>3.038385239670861E-4</v>
      </c>
      <c r="BL23" s="22">
        <v>2.4219965973433098E-4</v>
      </c>
      <c r="BM23" s="22">
        <v>1.9077707660915163E-4</v>
      </c>
      <c r="BN23" s="22">
        <v>1.483372700460888E-4</v>
      </c>
      <c r="BO23" s="22">
        <v>1.1372051396459156E-4</v>
      </c>
      <c r="BP23" s="22">
        <v>8.5845744071810475E-5</v>
      </c>
      <c r="BQ23" s="22">
        <v>6.3714668258351304E-5</v>
      </c>
      <c r="BR23" s="22">
        <v>4.6414958002321724E-5</v>
      </c>
      <c r="BS23" s="22">
        <v>3.3122380724060004E-5</v>
      </c>
      <c r="BT23" s="22">
        <v>2.3101746467809262E-5</v>
      </c>
      <c r="BU23" s="22">
        <v>1.5706564481362198E-5</v>
      </c>
      <c r="BV23" s="22">
        <v>1.0377337320004481E-5</v>
      </c>
      <c r="BW23" s="22">
        <v>6.6384626691430504E-6</v>
      </c>
      <c r="BX23" s="22">
        <v>4.0937660769979724E-6</v>
      </c>
      <c r="BY23" s="22">
        <v>2.4207500644788674E-6</v>
      </c>
      <c r="BZ23" s="22">
        <v>1.363714068622483E-6</v>
      </c>
      <c r="CA23" s="22">
        <v>7.259710838428477E-7</v>
      </c>
      <c r="CB23" s="22">
        <v>3.6145449021159897E-7</v>
      </c>
      <c r="CC23" s="22">
        <v>1.6606437704203892E-7</v>
      </c>
      <c r="CD23" s="22">
        <v>6.9137359036889646E-8</v>
      </c>
      <c r="CE23" s="22">
        <v>2.5427942038496419E-8</v>
      </c>
      <c r="CF23" s="22">
        <v>7.9551015545785862E-9</v>
      </c>
      <c r="CG23" s="22">
        <v>1.9912687077148099E-9</v>
      </c>
      <c r="CH23" s="22">
        <v>3.5580960299996432E-10</v>
      </c>
      <c r="CI23" s="22">
        <v>3.4180028009519778E-11</v>
      </c>
      <c r="CJ23" s="22">
        <v>0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2">
        <v>0</v>
      </c>
      <c r="CQ23" s="22">
        <v>0</v>
      </c>
      <c r="CR23" s="22">
        <v>0</v>
      </c>
      <c r="CS23" s="22">
        <v>0</v>
      </c>
      <c r="CT23" s="22">
        <v>0</v>
      </c>
      <c r="CU23" s="22">
        <v>0</v>
      </c>
      <c r="CV23" s="22">
        <v>0</v>
      </c>
    </row>
    <row r="24" spans="1:100" x14ac:dyDescent="0.25">
      <c r="H24" s="22">
        <v>9.9383670678579394E-2</v>
      </c>
      <c r="I24" s="22">
        <v>9.5895484106088516E-2</v>
      </c>
      <c r="J24" s="22">
        <v>9.2086899604490777E-2</v>
      </c>
      <c r="K24" s="22">
        <v>8.8320162200330996E-2</v>
      </c>
      <c r="L24" s="22">
        <v>8.4633855933972005E-2</v>
      </c>
      <c r="M24" s="22">
        <v>8.103195028437378E-2</v>
      </c>
      <c r="N24" s="22">
        <v>7.7515187960338003E-2</v>
      </c>
      <c r="O24" s="22">
        <v>7.4084079054141286E-2</v>
      </c>
      <c r="P24" s="22">
        <v>7.0738809431297373E-2</v>
      </c>
      <c r="Q24" s="22">
        <v>6.7479498671147456E-2</v>
      </c>
      <c r="R24" s="22">
        <v>6.4306205529356911E-2</v>
      </c>
      <c r="S24" s="22">
        <v>6.1218946229316014E-2</v>
      </c>
      <c r="T24" s="22">
        <v>5.821769352592298E-2</v>
      </c>
      <c r="U24" s="22">
        <v>5.5302376327735776E-2</v>
      </c>
      <c r="V24" s="22">
        <v>5.247287924219151E-2</v>
      </c>
      <c r="W24" s="22">
        <v>4.9729040820224175E-2</v>
      </c>
      <c r="X24" s="22">
        <v>4.7070651760922726E-2</v>
      </c>
      <c r="Y24" s="22">
        <v>4.4497453033453899E-2</v>
      </c>
      <c r="Z24" s="22">
        <v>4.2009133901251737E-2</v>
      </c>
      <c r="AA24" s="22">
        <v>3.9605329924291534E-2</v>
      </c>
      <c r="AB24" s="22">
        <v>3.7285620945081442E-2</v>
      </c>
      <c r="AC24" s="22">
        <v>3.5049529067252387E-2</v>
      </c>
      <c r="AD24" s="22">
        <v>3.2896516638645602E-2</v>
      </c>
      <c r="AE24" s="22">
        <v>3.0825984248553488E-2</v>
      </c>
      <c r="AF24" s="22">
        <v>2.8837268750118411E-2</v>
      </c>
      <c r="AG24" s="22">
        <v>2.6929641320293411E-2</v>
      </c>
      <c r="AH24" s="22">
        <v>2.5102305571200974E-2</v>
      </c>
      <c r="AI24" s="22">
        <v>2.3354395728216522E-2</v>
      </c>
      <c r="AJ24" s="22">
        <v>2.1684974891745267E-2</v>
      </c>
      <c r="AK24" s="22">
        <v>2.0093033401483967E-2</v>
      </c>
      <c r="AL24" s="22">
        <v>1.857748732390253E-2</v>
      </c>
      <c r="AM24" s="22">
        <v>1.7137177085608173E-2</v>
      </c>
      <c r="AN24" s="22">
        <v>1.5770866277485768E-2</v>
      </c>
      <c r="AO24" s="22">
        <v>1.4477240656625158E-2</v>
      </c>
      <c r="AP24" s="22">
        <v>1.3254907375392005E-2</v>
      </c>
      <c r="AQ24" s="22">
        <v>1.2102394469282268E-2</v>
      </c>
      <c r="AR24" s="22">
        <v>1.1018150637577242E-2</v>
      </c>
      <c r="AS24" s="22">
        <v>1.0000545353122024E-2</v>
      </c>
      <c r="AT24" s="22">
        <v>9.0478693398006772E-3</v>
      </c>
      <c r="AU24" s="22">
        <v>8.1583354583934422E-3</v>
      </c>
      <c r="AV24" s="22">
        <v>7.9052378828164422E-3</v>
      </c>
      <c r="AW24" s="22">
        <v>7.1031214476753512E-3</v>
      </c>
      <c r="AX24" s="22">
        <v>6.3583316315049543E-3</v>
      </c>
      <c r="AY24" s="22">
        <v>5.6689402957640295E-3</v>
      </c>
      <c r="AZ24" s="22">
        <v>5.0329523240939212E-3</v>
      </c>
      <c r="BA24" s="22">
        <v>4.4483089295821541E-3</v>
      </c>
      <c r="BB24" s="22">
        <v>3.9128916030956654E-3</v>
      </c>
      <c r="BC24" s="22">
        <v>3.4245267454119646E-3</v>
      </c>
      <c r="BD24" s="22">
        <v>2.9809910231864529E-3</v>
      </c>
      <c r="BE24" s="22">
        <v>2.5800174846394297E-3</v>
      </c>
      <c r="BF24" s="22">
        <v>2.2193024649530585E-3</v>
      </c>
      <c r="BG24" s="22">
        <v>1.8965133034405893E-3</v>
      </c>
      <c r="BH24" s="22">
        <v>1.6092968842638634E-3</v>
      </c>
      <c r="BI24" s="22">
        <v>1.3552889994807324E-3</v>
      </c>
      <c r="BJ24" s="22">
        <v>1.1321245171788061E-3</v>
      </c>
      <c r="BK24" s="22">
        <v>9.374483180730731E-4</v>
      </c>
      <c r="BL24" s="22">
        <v>7.6892694096763819E-4</v>
      </c>
      <c r="BM24" s="22">
        <v>6.2426085071220084E-4</v>
      </c>
      <c r="BN24" s="22">
        <v>5.0119721171317183E-4</v>
      </c>
      <c r="BO24" s="22">
        <v>3.97543015842795E-4</v>
      </c>
      <c r="BP24" s="22">
        <v>3.1117837619384258E-4</v>
      </c>
      <c r="BQ24" s="22">
        <v>2.4006975837714709E-4</v>
      </c>
      <c r="BR24" s="22">
        <v>1.8228288027759778E-4</v>
      </c>
      <c r="BS24" s="22">
        <v>1.3599497127956333E-4</v>
      </c>
      <c r="BT24" s="22">
        <v>9.9506045582175816E-5</v>
      </c>
      <c r="BU24" s="22">
        <v>7.1248814776052379E-5</v>
      </c>
      <c r="BV24" s="22">
        <v>4.9796846635352675E-5</v>
      </c>
      <c r="BW24" s="22">
        <v>3.3870575194555437E-5</v>
      </c>
      <c r="BX24" s="22">
        <v>2.234078735811735E-5</v>
      </c>
      <c r="BY24" s="22">
        <v>1.4229259520464548E-5</v>
      </c>
      <c r="BZ24" s="22">
        <v>8.7062995113839926E-6</v>
      </c>
      <c r="CA24" s="22">
        <v>5.0850687402548658E-6</v>
      </c>
      <c r="CB24" s="22">
        <v>2.8127179171200232E-6</v>
      </c>
      <c r="CC24" s="22">
        <v>1.458563708859655E-6</v>
      </c>
      <c r="CD24" s="22">
        <v>6.9975294043751012E-7</v>
      </c>
      <c r="CE24" s="22">
        <v>3.0508666610623769E-7</v>
      </c>
      <c r="CF24" s="22">
        <v>1.178801881330148E-7</v>
      </c>
      <c r="CG24" s="22">
        <v>3.8879757849317905E-8</v>
      </c>
      <c r="CH24" s="22">
        <v>1.0300603915412969E-8</v>
      </c>
      <c r="CI24" s="22">
        <v>1.9566901346092921E-9</v>
      </c>
      <c r="CJ24" s="22">
        <v>2.0082391861111795E-10</v>
      </c>
      <c r="CK24" s="22">
        <v>0</v>
      </c>
      <c r="CL24" s="22">
        <v>0</v>
      </c>
      <c r="CM24" s="22">
        <v>0</v>
      </c>
      <c r="CN24" s="22">
        <v>0</v>
      </c>
      <c r="CO24" s="22">
        <v>0</v>
      </c>
      <c r="CP24" s="22">
        <v>0</v>
      </c>
      <c r="CQ24" s="22">
        <v>0</v>
      </c>
      <c r="CR24" s="22">
        <v>0</v>
      </c>
      <c r="CS24" s="22">
        <v>0</v>
      </c>
      <c r="CT24" s="22">
        <v>0</v>
      </c>
      <c r="CU24" s="22">
        <v>0</v>
      </c>
      <c r="CV24" s="22">
        <v>0</v>
      </c>
    </row>
    <row r="25" spans="1:100" x14ac:dyDescent="0.25">
      <c r="G25" s="22">
        <v>0.16755613899045238</v>
      </c>
      <c r="H25" s="22">
        <v>0.16185576988683037</v>
      </c>
      <c r="I25" s="22">
        <v>0.15618148667769574</v>
      </c>
      <c r="J25" s="22">
        <v>0.15059769095645867</v>
      </c>
      <c r="K25" s="22">
        <v>0.14511193295262245</v>
      </c>
      <c r="L25" s="22">
        <v>0.13972572091402485</v>
      </c>
      <c r="M25" s="22">
        <v>0.13443997565315566</v>
      </c>
      <c r="N25" s="22">
        <v>0.12925552923044897</v>
      </c>
      <c r="O25" s="22">
        <v>0.12417313855068281</v>
      </c>
      <c r="P25" s="22">
        <v>0.11919352832949222</v>
      </c>
      <c r="Q25" s="22">
        <v>0.11431739268629483</v>
      </c>
      <c r="R25" s="22">
        <v>0.10954539663675383</v>
      </c>
      <c r="S25" s="22">
        <v>0.10487817433889166</v>
      </c>
      <c r="T25" s="22">
        <v>0.1003163272252573</v>
      </c>
      <c r="U25" s="22">
        <v>9.5860421876659926E-2</v>
      </c>
      <c r="V25" s="22">
        <v>9.1510987569836708E-2</v>
      </c>
      <c r="W25" s="22">
        <v>8.7268513699197067E-2</v>
      </c>
      <c r="X25" s="22">
        <v>8.3133447066200683E-2</v>
      </c>
      <c r="Y25" s="22">
        <v>7.910618903913838E-2</v>
      </c>
      <c r="Z25" s="22">
        <v>7.5187092593558352E-2</v>
      </c>
      <c r="AA25" s="22">
        <v>7.1376459232851422E-2</v>
      </c>
      <c r="AB25" s="22">
        <v>6.7674535789278858E-2</v>
      </c>
      <c r="AC25" s="22">
        <v>6.4081511106573799E-2</v>
      </c>
      <c r="AD25" s="22">
        <v>6.059751260544978E-2</v>
      </c>
      <c r="AE25" s="22">
        <v>5.7222602734365545E-2</v>
      </c>
      <c r="AF25" s="22">
        <v>5.3956775309034914E-2</v>
      </c>
      <c r="AG25" s="22">
        <v>5.0799951745440546E-2</v>
      </c>
      <c r="AH25" s="22">
        <v>4.7751977192617943E-2</v>
      </c>
      <c r="AI25" s="22">
        <v>4.4812616573060488E-2</v>
      </c>
      <c r="AJ25" s="22">
        <v>4.1981550540678286E-2</v>
      </c>
      <c r="AK25" s="22">
        <v>3.9258371368281815E-2</v>
      </c>
      <c r="AL25" s="22">
        <v>3.6642578779094048E-2</v>
      </c>
      <c r="AM25" s="22">
        <v>3.4133575739529694E-2</v>
      </c>
      <c r="AN25" s="22">
        <v>3.1730664233561877E-2</v>
      </c>
      <c r="AO25" s="22">
        <v>2.9433041042463508E-2</v>
      </c>
      <c r="AP25" s="22">
        <v>2.7239793557510234E-2</v>
      </c>
      <c r="AQ25" s="22">
        <v>2.5149895657512276E-2</v>
      </c>
      <c r="AR25" s="22">
        <v>2.3162203687637523E-2</v>
      </c>
      <c r="AS25" s="22">
        <v>2.1275452581180021E-2</v>
      </c>
      <c r="AT25" s="22">
        <v>1.9488252171443163E-2</v>
      </c>
      <c r="AU25" s="22">
        <v>1.7799083746969101E-2</v>
      </c>
      <c r="AV25" s="22">
        <v>1.7243218237345603E-2</v>
      </c>
      <c r="AW25" s="22">
        <v>1.5701856868847397E-2</v>
      </c>
      <c r="AX25" s="22">
        <v>1.4251757276702205E-2</v>
      </c>
      <c r="AY25" s="22">
        <v>1.2891083342265932E-2</v>
      </c>
      <c r="AZ25" s="22">
        <v>1.1617866492270559E-2</v>
      </c>
      <c r="BA25" s="22">
        <v>1.0430004408410682E-2</v>
      </c>
      <c r="BB25" s="22">
        <v>9.3252603927759022E-3</v>
      </c>
      <c r="BC25" s="22">
        <v>8.3012634888799727E-3</v>
      </c>
      <c r="BD25" s="22">
        <v>7.3555094658212892E-3</v>
      </c>
      <c r="BE25" s="22">
        <v>6.4853627804041785E-3</v>
      </c>
      <c r="BF25" s="22">
        <v>5.688059638646146E-3</v>
      </c>
      <c r="BG25" s="22">
        <v>4.9607122834321501E-3</v>
      </c>
      <c r="BH25" s="22">
        <v>4.3003146387080382E-3</v>
      </c>
      <c r="BI25" s="22">
        <v>3.7037494418068373E-3</v>
      </c>
      <c r="BJ25" s="22">
        <v>3.1677969935174715E-3</v>
      </c>
      <c r="BK25" s="22">
        <v>2.6891456493572884E-3</v>
      </c>
      <c r="BL25" s="22">
        <v>2.2644041640685394E-3</v>
      </c>
      <c r="BM25" s="22">
        <v>1.8901159834035194E-3</v>
      </c>
      <c r="BN25" s="22">
        <v>1.5627755512543212E-3</v>
      </c>
      <c r="BO25" s="22">
        <v>1.2788466646785116E-3</v>
      </c>
      <c r="BP25" s="22">
        <v>1.0347828626124582E-3</v>
      </c>
      <c r="BQ25" s="22">
        <v>8.2704977453931805E-4</v>
      </c>
      <c r="BR25" s="22">
        <v>6.5214928157668578E-4</v>
      </c>
      <c r="BS25" s="22">
        <v>5.0664525333715584E-4</v>
      </c>
      <c r="BT25" s="22">
        <v>3.8719051911924058E-4</v>
      </c>
      <c r="BU25" s="22">
        <v>2.9055461221716704E-4</v>
      </c>
      <c r="BV25" s="22">
        <v>2.1365169372919933E-4</v>
      </c>
      <c r="BW25" s="22">
        <v>1.5356792179059629E-4</v>
      </c>
      <c r="BX25" s="22">
        <v>1.0758739124427557E-4</v>
      </c>
      <c r="BY25" s="22">
        <v>7.321563874900792E-5</v>
      </c>
      <c r="BZ25" s="22">
        <v>4.8199605054670663E-5</v>
      </c>
      <c r="CA25" s="22">
        <v>3.0542890327962464E-5</v>
      </c>
      <c r="CB25" s="22">
        <v>1.8515155289841883E-5</v>
      </c>
      <c r="CC25" s="22">
        <v>1.0654639016324257E-5</v>
      </c>
      <c r="CD25" s="22">
        <v>5.7630120638157283E-6</v>
      </c>
      <c r="CE25" s="22">
        <v>2.8921839206045191E-6</v>
      </c>
      <c r="CF25" s="22">
        <v>1.3232449751747241E-6</v>
      </c>
      <c r="CG25" s="22">
        <v>5.3842711237848353E-7</v>
      </c>
      <c r="CH25" s="22">
        <v>1.8775535583604023E-7</v>
      </c>
      <c r="CI25" s="22">
        <v>5.2825124537892773E-8</v>
      </c>
      <c r="CJ25" s="22">
        <v>1.0709991020882456E-8</v>
      </c>
      <c r="CK25" s="22">
        <v>1.1799360221444881E-9</v>
      </c>
      <c r="CL25" s="22">
        <v>0</v>
      </c>
      <c r="CM25" s="22">
        <v>0</v>
      </c>
      <c r="CN25" s="22">
        <v>0</v>
      </c>
      <c r="CO25" s="22">
        <v>0</v>
      </c>
      <c r="CP25" s="22">
        <v>0</v>
      </c>
      <c r="CQ25" s="22">
        <v>0</v>
      </c>
      <c r="CR25" s="22">
        <v>0</v>
      </c>
      <c r="CS25" s="22">
        <v>0</v>
      </c>
      <c r="CT25" s="22">
        <v>0</v>
      </c>
      <c r="CU25" s="22">
        <v>0</v>
      </c>
      <c r="CV25" s="22">
        <v>0</v>
      </c>
    </row>
    <row r="26" spans="1:100" x14ac:dyDescent="0.25">
      <c r="F26" s="22">
        <v>0.27147058064888618</v>
      </c>
      <c r="G26" s="22">
        <v>0.26335019082031408</v>
      </c>
      <c r="H26" s="22">
        <v>0.25532060701948872</v>
      </c>
      <c r="I26" s="22">
        <v>0.2473944249386065</v>
      </c>
      <c r="J26" s="22">
        <v>0.23957426574987836</v>
      </c>
      <c r="K26" s="22">
        <v>0.23186170004063775</v>
      </c>
      <c r="L26" s="22">
        <v>0.22425819531132465</v>
      </c>
      <c r="M26" s="22">
        <v>0.21676520185849854</v>
      </c>
      <c r="N26" s="22">
        <v>0.20938415929997994</v>
      </c>
      <c r="O26" s="22">
        <v>0.20211650311546581</v>
      </c>
      <c r="P26" s="22">
        <v>0.19496366407849866</v>
      </c>
      <c r="Q26" s="22">
        <v>0.1879270672035899</v>
      </c>
      <c r="R26" s="22">
        <v>0.18100813002381683</v>
      </c>
      <c r="S26" s="22">
        <v>0.17420826069452186</v>
      </c>
      <c r="T26" s="22">
        <v>0.16752885590083905</v>
      </c>
      <c r="U26" s="22">
        <v>0.1609712985726475</v>
      </c>
      <c r="V26" s="22">
        <v>0.15453695543189072</v>
      </c>
      <c r="W26" s="22">
        <v>0.14822717436398575</v>
      </c>
      <c r="X26" s="22">
        <v>0.14204328160607269</v>
      </c>
      <c r="Y26" s="22">
        <v>0.13598657874445644</v>
      </c>
      <c r="Z26" s="22">
        <v>0.13005833951154419</v>
      </c>
      <c r="AA26" s="22">
        <v>0.12425980637221169</v>
      </c>
      <c r="AB26" s="22">
        <v>0.11859218688945329</v>
      </c>
      <c r="AC26" s="22">
        <v>0.11305664985881227</v>
      </c>
      <c r="AD26" s="22">
        <v>0.10765432120111609</v>
      </c>
      <c r="AE26" s="22">
        <v>0.102386279603025</v>
      </c>
      <c r="AF26" s="22">
        <v>9.7253551895052734E-2</v>
      </c>
      <c r="AG26" s="22">
        <v>9.2257108156947182E-2</v>
      </c>
      <c r="AH26" s="22">
        <v>8.7397856540748164E-2</v>
      </c>
      <c r="AI26" s="22">
        <v>8.2676637802457487E-2</v>
      </c>
      <c r="AJ26" s="22">
        <v>7.8094219533977938E-2</v>
      </c>
      <c r="AK26" s="22">
        <v>7.365129008812378E-2</v>
      </c>
      <c r="AL26" s="22">
        <v>6.934845219078889E-2</v>
      </c>
      <c r="AM26" s="22">
        <v>6.5186216236048616E-2</v>
      </c>
      <c r="AN26" s="22">
        <v>6.1164993262070873E-2</v>
      </c>
      <c r="AO26" s="22">
        <v>5.7285087608247867E-2</v>
      </c>
      <c r="AP26" s="22">
        <v>5.3546689257015653E-2</v>
      </c>
      <c r="AQ26" s="22">
        <v>4.9949865867485295E-2</v>
      </c>
      <c r="AR26" s="22">
        <v>4.6494554512427747E-2</v>
      </c>
      <c r="AS26" s="22">
        <v>4.3180553135247317E-2</v>
      </c>
      <c r="AT26" s="22">
        <v>4.0007511749697078E-2</v>
      </c>
      <c r="AU26" s="22">
        <v>3.6974923412111671E-2</v>
      </c>
      <c r="AV26" s="22">
        <v>3.5806316610583977E-2</v>
      </c>
      <c r="AW26" s="22">
        <v>3.3009261470958097E-2</v>
      </c>
      <c r="AX26" s="22">
        <v>3.0346067961481211E-2</v>
      </c>
      <c r="AY26" s="22">
        <v>2.781575453314019E-2</v>
      </c>
      <c r="AZ26" s="22">
        <v>2.5417155240767632E-2</v>
      </c>
      <c r="BA26" s="22">
        <v>2.3148910730785073E-2</v>
      </c>
      <c r="BB26" s="22">
        <v>2.1009459359721191E-2</v>
      </c>
      <c r="BC26" s="22">
        <v>1.899702855141587E-2</v>
      </c>
      <c r="BD26" s="22">
        <v>1.7109626519610743E-2</v>
      </c>
      <c r="BE26" s="22">
        <v>1.5345034503449779E-2</v>
      </c>
      <c r="BF26" s="22">
        <v>1.3700799686457339E-2</v>
      </c>
      <c r="BG26" s="22">
        <v>1.2174228994717198E-2</v>
      </c>
      <c r="BH26" s="22">
        <v>1.0762383997151213E-2</v>
      </c>
      <c r="BI26" s="22">
        <v>9.4620771597738254E-3</v>
      </c>
      <c r="BJ26" s="22">
        <v>8.2698697360516233E-3</v>
      </c>
      <c r="BK26" s="22">
        <v>7.1820716065008998E-3</v>
      </c>
      <c r="BL26" s="22">
        <v>6.1947434112647696E-3</v>
      </c>
      <c r="BM26" s="22">
        <v>5.3037013483673168E-3</v>
      </c>
      <c r="BN26" s="22">
        <v>4.504525035742132E-3</v>
      </c>
      <c r="BO26" s="22">
        <v>3.7925688544660787E-3</v>
      </c>
      <c r="BP26" s="22">
        <v>3.1629772007139389E-3</v>
      </c>
      <c r="BQ26" s="22">
        <v>2.6107040706524697E-3</v>
      </c>
      <c r="BR26" s="22">
        <v>2.1305373807708442E-3</v>
      </c>
      <c r="BS26" s="22">
        <v>1.7171283797897678E-3</v>
      </c>
      <c r="BT26" s="22">
        <v>1.3650264300359856E-3</v>
      </c>
      <c r="BU26" s="22">
        <v>1.0687193177180121E-3</v>
      </c>
      <c r="BV26" s="22">
        <v>8.2267908384655686E-4</v>
      </c>
      <c r="BW26" s="22">
        <v>6.2141314147049745E-4</v>
      </c>
      <c r="BX26" s="22">
        <v>4.5952015218082322E-4</v>
      </c>
      <c r="BY26" s="22">
        <v>3.3174976983125516E-4</v>
      </c>
      <c r="BZ26" s="22">
        <v>2.330649215495384E-4</v>
      </c>
      <c r="CA26" s="22">
        <v>1.5870479343522395E-4</v>
      </c>
      <c r="CB26" s="22">
        <v>1.042461421860753E-4</v>
      </c>
      <c r="CC26" s="22">
        <v>6.5660004621327482E-5</v>
      </c>
      <c r="CD26" s="22">
        <v>3.9360390229863555E-5</v>
      </c>
      <c r="CE26" s="22">
        <v>2.224121362953871E-5</v>
      </c>
      <c r="CF26" s="22">
        <v>1.1697682889711265E-5</v>
      </c>
      <c r="CG26" s="22">
        <v>5.628761465831736E-6</v>
      </c>
      <c r="CH26" s="22">
        <v>2.4183279901642264E-6</v>
      </c>
      <c r="CI26" s="22">
        <v>8.9439535220770237E-7</v>
      </c>
      <c r="CJ26" s="22">
        <v>2.6823628931633706E-7</v>
      </c>
      <c r="CK26" s="22">
        <v>5.8305263987840296E-8</v>
      </c>
      <c r="CL26" s="22">
        <v>6.9326852398003739E-9</v>
      </c>
      <c r="CM26" s="22">
        <v>0</v>
      </c>
      <c r="CN26" s="22">
        <v>0</v>
      </c>
      <c r="CO26" s="22">
        <v>0</v>
      </c>
      <c r="CP26" s="22">
        <v>0</v>
      </c>
      <c r="CQ26" s="22">
        <v>0</v>
      </c>
      <c r="CR26" s="22">
        <v>0</v>
      </c>
      <c r="CS26" s="22">
        <v>0</v>
      </c>
      <c r="CT26" s="22">
        <v>0</v>
      </c>
      <c r="CU26" s="22">
        <v>0</v>
      </c>
      <c r="CV26" s="22">
        <v>0</v>
      </c>
    </row>
    <row r="27" spans="1:100" x14ac:dyDescent="0.25">
      <c r="E27" s="22">
        <v>0.42493127497309269</v>
      </c>
      <c r="F27" s="22">
        <v>0.41393215852065118</v>
      </c>
      <c r="G27" s="22">
        <v>0.40303055968822515</v>
      </c>
      <c r="H27" s="22">
        <v>0.3922303651815463</v>
      </c>
      <c r="I27" s="22">
        <v>0.38153373726903927</v>
      </c>
      <c r="J27" s="22">
        <v>0.37094268050304191</v>
      </c>
      <c r="K27" s="22">
        <v>0.36045920687526067</v>
      </c>
      <c r="L27" s="22">
        <v>0.35008535129278423</v>
      </c>
      <c r="M27" s="22">
        <v>0.33982317347332808</v>
      </c>
      <c r="N27" s="22">
        <v>0.32967475895333415</v>
      </c>
      <c r="O27" s="22">
        <v>0.31964221877767063</v>
      </c>
      <c r="P27" s="22">
        <v>0.30972768896501457</v>
      </c>
      <c r="Q27" s="22">
        <v>0.29993332976750764</v>
      </c>
      <c r="R27" s="22">
        <v>0.2902613247988603</v>
      </c>
      <c r="S27" s="22">
        <v>0.28071388002256975</v>
      </c>
      <c r="T27" s="22">
        <v>0.27129322259546024</v>
      </c>
      <c r="U27" s="22">
        <v>0.26200159956074631</v>
      </c>
      <c r="V27" s="22">
        <v>0.2528412763786001</v>
      </c>
      <c r="W27" s="22">
        <v>0.24381453528144903</v>
      </c>
      <c r="X27" s="22">
        <v>0.23492367343995349</v>
      </c>
      <c r="Y27" s="22">
        <v>0.22617100092424985</v>
      </c>
      <c r="Z27" s="22">
        <v>0.21755883844400625</v>
      </c>
      <c r="AA27" s="22">
        <v>0.20908951484958035</v>
      </c>
      <c r="AB27" s="22">
        <v>0.20076536437533871</v>
      </c>
      <c r="AC27" s="22">
        <v>0.19258872360496562</v>
      </c>
      <c r="AD27" s="22">
        <v>0.18456192813721764</v>
      </c>
      <c r="AE27" s="22">
        <v>0.17668730892915405</v>
      </c>
      <c r="AF27" s="22">
        <v>0.16896718829253343</v>
      </c>
      <c r="AG27" s="22">
        <v>0.16140387551744978</v>
      </c>
      <c r="AH27" s="22">
        <v>0.15399966209590635</v>
      </c>
      <c r="AI27" s="22">
        <v>0.14675681651639377</v>
      </c>
      <c r="AJ27" s="22">
        <v>0.13967757859915148</v>
      </c>
      <c r="AK27" s="22">
        <v>0.13276415334011818</v>
      </c>
      <c r="AL27" s="22">
        <v>0.12601870423031256</v>
      </c>
      <c r="AM27" s="22">
        <v>0.11944334601594062</v>
      </c>
      <c r="AN27" s="22">
        <v>0.11304013686334748</v>
      </c>
      <c r="AO27" s="22">
        <v>0.10681106989189899</v>
      </c>
      <c r="AP27" s="22">
        <v>0.10075806403711256</v>
      </c>
      <c r="AQ27" s="22">
        <v>9.4882954205962378E-2</v>
      </c>
      <c r="AR27" s="22">
        <v>8.9187480686188064E-2</v>
      </c>
      <c r="AS27" s="22">
        <v>8.3673277772162963E-2</v>
      </c>
      <c r="AT27" s="22">
        <v>7.8341861570946927E-2</v>
      </c>
      <c r="AU27" s="22">
        <v>7.3194616954335157E-2</v>
      </c>
      <c r="AV27" s="22">
        <v>7.0845377443727348E-2</v>
      </c>
      <c r="AW27" s="22">
        <v>6.605187733649992E-2</v>
      </c>
      <c r="AX27" s="22">
        <v>6.1437883570382303E-2</v>
      </c>
      <c r="AY27" s="22">
        <v>5.7004263499705485E-2</v>
      </c>
      <c r="AZ27" s="22">
        <v>5.2751703376329458E-2</v>
      </c>
      <c r="BA27" s="22">
        <v>4.8680691698119928E-2</v>
      </c>
      <c r="BB27" s="22">
        <v>4.4791501648911811E-2</v>
      </c>
      <c r="BC27" s="22">
        <v>4.1084172647588915E-2</v>
      </c>
      <c r="BD27" s="22">
        <v>3.7558491041294322E-2</v>
      </c>
      <c r="BE27" s="22">
        <v>3.4213969999170299E-2</v>
      </c>
      <c r="BF27" s="22">
        <v>3.1049828689123357E-2</v>
      </c>
      <c r="BG27" s="22">
        <v>2.8064970851718329E-2</v>
      </c>
      <c r="BH27" s="22">
        <v>2.5257962923174854E-2</v>
      </c>
      <c r="BI27" s="22">
        <v>2.2627011904626619E-2</v>
      </c>
      <c r="BJ27" s="22">
        <v>2.0169943228220133E-2</v>
      </c>
      <c r="BK27" s="22">
        <v>1.788417893321868E-2</v>
      </c>
      <c r="BL27" s="22">
        <v>1.5766716538164256E-2</v>
      </c>
      <c r="BM27" s="22">
        <v>1.3814109078994269E-2</v>
      </c>
      <c r="BN27" s="22">
        <v>1.2022446878629854E-2</v>
      </c>
      <c r="BO27" s="22">
        <v>1.0387341720964624E-2</v>
      </c>
      <c r="BP27" s="22">
        <v>8.9039142212568295E-3</v>
      </c>
      <c r="BQ27" s="22">
        <v>7.5667853140025006E-3</v>
      </c>
      <c r="BR27" s="22">
        <v>6.37007291595956E-3</v>
      </c>
      <c r="BS27" s="22">
        <v>5.3073949612231384E-3</v>
      </c>
      <c r="BT27" s="22">
        <v>4.3718801398780352E-3</v>
      </c>
      <c r="BU27" s="22">
        <v>3.556187790662736E-3</v>
      </c>
      <c r="BV27" s="22">
        <v>2.8525384857847054E-3</v>
      </c>
      <c r="BW27" s="22">
        <v>2.2527568807833203E-3</v>
      </c>
      <c r="BX27" s="22">
        <v>1.7483283554972486E-3</v>
      </c>
      <c r="BY27" s="22">
        <v>1.3304708064644714E-3</v>
      </c>
      <c r="BZ27" s="22">
        <v>9.9022262034714694E-4</v>
      </c>
      <c r="CA27" s="22">
        <v>7.1854730747574673E-4</v>
      </c>
      <c r="CB27" s="22">
        <v>5.064544438391134E-4</v>
      </c>
      <c r="CC27" s="22">
        <v>3.4513539890170322E-4</v>
      </c>
      <c r="CD27" s="22">
        <v>2.2611076844797701E-4</v>
      </c>
      <c r="CE27" s="22">
        <v>1.4138447297955468E-4</v>
      </c>
      <c r="CF27" s="22">
        <v>8.359717596132817E-5</v>
      </c>
      <c r="CG27" s="22">
        <v>4.6169187357152943E-5</v>
      </c>
      <c r="CH27" s="22">
        <v>2.3420681189491854E-5</v>
      </c>
      <c r="CI27" s="22">
        <v>1.0655435477393533E-5</v>
      </c>
      <c r="CJ27" s="22">
        <v>4.1942278323562305E-6</v>
      </c>
      <c r="CK27" s="22">
        <v>1.3465416402129235E-6</v>
      </c>
      <c r="CL27" s="22">
        <v>3.1542042546045442E-7</v>
      </c>
      <c r="CM27" s="22">
        <v>4.0732822570155699E-8</v>
      </c>
      <c r="CN27" s="22">
        <v>0</v>
      </c>
      <c r="CO27" s="22">
        <v>0</v>
      </c>
      <c r="CP27" s="22">
        <v>0</v>
      </c>
      <c r="CQ27" s="22">
        <v>0</v>
      </c>
      <c r="CR27" s="22">
        <v>0</v>
      </c>
      <c r="CS27" s="22">
        <v>0</v>
      </c>
      <c r="CT27" s="22">
        <v>0</v>
      </c>
      <c r="CU27" s="22">
        <v>0</v>
      </c>
      <c r="CV27" s="22">
        <v>0</v>
      </c>
    </row>
    <row r="28" spans="1:100" x14ac:dyDescent="0.25">
      <c r="D28" s="22">
        <v>0.64389240561460592</v>
      </c>
      <c r="E28" s="22">
        <v>0.62957546965696931</v>
      </c>
      <c r="F28" s="22">
        <v>0.61534250437259852</v>
      </c>
      <c r="G28" s="22">
        <v>0.60119604457071929</v>
      </c>
      <c r="H28" s="22">
        <v>0.58713836653544438</v>
      </c>
      <c r="I28" s="22">
        <v>0.57317176403809045</v>
      </c>
      <c r="J28" s="22">
        <v>0.55929857826190421</v>
      </c>
      <c r="K28" s="22">
        <v>0.54552120169502627</v>
      </c>
      <c r="L28" s="22">
        <v>0.53184207961044361</v>
      </c>
      <c r="M28" s="22">
        <v>0.51826371124517412</v>
      </c>
      <c r="N28" s="22">
        <v>0.50478865073211254</v>
      </c>
      <c r="O28" s="22">
        <v>0.49141950796897971</v>
      </c>
      <c r="P28" s="22">
        <v>0.47815894943284387</v>
      </c>
      <c r="Q28" s="22">
        <v>0.46500969894816635</v>
      </c>
      <c r="R28" s="22">
        <v>0.45197453840263729</v>
      </c>
      <c r="S28" s="22">
        <v>0.4390563084043132</v>
      </c>
      <c r="T28" s="22">
        <v>0.42625790887216647</v>
      </c>
      <c r="U28" s="22">
        <v>0.4135822995502112</v>
      </c>
      <c r="V28" s="22">
        <v>0.40103250043438737</v>
      </c>
      <c r="W28" s="22">
        <v>0.38861159210005458</v>
      </c>
      <c r="X28" s="22">
        <v>0.37632271591658656</v>
      </c>
      <c r="Y28" s="22">
        <v>0.36416907413426064</v>
      </c>
      <c r="Z28" s="22">
        <v>0.3521539298268786</v>
      </c>
      <c r="AA28" s="22">
        <v>0.34028060667213839</v>
      </c>
      <c r="AB28" s="22">
        <v>0.32855248854966346</v>
      </c>
      <c r="AC28" s="22">
        <v>0.3169730189346861</v>
      </c>
      <c r="AD28" s="22">
        <v>0.30554570006307602</v>
      </c>
      <c r="AE28" s="22">
        <v>0.29427409184110115</v>
      </c>
      <c r="AF28" s="22">
        <v>0.28316181047046546</v>
      </c>
      <c r="AG28" s="22">
        <v>0.27221252675637536</v>
      </c>
      <c r="AH28" s="22">
        <v>0.26142996406316499</v>
      </c>
      <c r="AI28" s="22">
        <v>0.25081789587856351</v>
      </c>
      <c r="AJ28" s="22">
        <v>0.24038014294390647</v>
      </c>
      <c r="AK28" s="22">
        <v>0.23012056990354315</v>
      </c>
      <c r="AL28" s="22">
        <v>0.22004308142216764</v>
      </c>
      <c r="AM28" s="22">
        <v>0.21015161771426694</v>
      </c>
      <c r="AN28" s="22">
        <v>0.20045014942426501</v>
      </c>
      <c r="AO28" s="22">
        <v>0.19094267179090862</v>
      </c>
      <c r="AP28" s="22">
        <v>0.18163319802312786</v>
      </c>
      <c r="AQ28" s="22">
        <v>0.17252575180841012</v>
      </c>
      <c r="AR28" s="22">
        <v>0.16362435886802434</v>
      </c>
      <c r="AS28" s="22">
        <v>0.15493303746623591</v>
      </c>
      <c r="AT28" s="22">
        <v>0.14645578777335092</v>
      </c>
      <c r="AU28" s="22">
        <v>0.13819657997465895</v>
      </c>
      <c r="AV28" s="22">
        <v>0.13368452612435766</v>
      </c>
      <c r="AW28" s="22">
        <v>0.12592604781846875</v>
      </c>
      <c r="AX28" s="22">
        <v>0.11838485919057963</v>
      </c>
      <c r="AY28" s="22">
        <v>0.11106457201400581</v>
      </c>
      <c r="AZ28" s="22">
        <v>0.10396871249653433</v>
      </c>
      <c r="BA28" s="22">
        <v>9.7100702656383708E-2</v>
      </c>
      <c r="BB28" s="22">
        <v>9.0463839771433352E-2</v>
      </c>
      <c r="BC28" s="22">
        <v>8.406127375068792E-2</v>
      </c>
      <c r="BD28" s="22">
        <v>7.7895982273031919E-2</v>
      </c>
      <c r="BE28" s="22">
        <v>7.1970743536610315E-2</v>
      </c>
      <c r="BF28" s="22">
        <v>6.6288106463652088E-2</v>
      </c>
      <c r="BG28" s="22">
        <v>6.0850358211067823E-2</v>
      </c>
      <c r="BH28" s="22">
        <v>5.5659488848180269E-2</v>
      </c>
      <c r="BI28" s="22">
        <v>5.0717153081020913E-2</v>
      </c>
      <c r="BJ28" s="22">
        <v>4.6024628929886478E-2</v>
      </c>
      <c r="BK28" s="22">
        <v>4.158277330554197E-2</v>
      </c>
      <c r="BL28" s="22">
        <v>3.7391974482926138E-2</v>
      </c>
      <c r="BM28" s="22">
        <v>3.3452101542833644E-2</v>
      </c>
      <c r="BN28" s="22">
        <v>2.9762450946274936E-2</v>
      </c>
      <c r="BO28" s="22">
        <v>2.632169052831201E-2</v>
      </c>
      <c r="BP28" s="22">
        <v>2.3127801353992804E-2</v>
      </c>
      <c r="BQ28" s="22">
        <v>2.0178018075507582E-2</v>
      </c>
      <c r="BR28" s="22">
        <v>1.7468768674546709E-2</v>
      </c>
      <c r="BS28" s="22">
        <v>1.4995614775134909E-2</v>
      </c>
      <c r="BT28" s="22">
        <v>1.2753194078393492E-2</v>
      </c>
      <c r="BU28" s="22">
        <v>1.0735166909151056E-2</v>
      </c>
      <c r="BV28" s="22">
        <v>8.9341693806452675E-3</v>
      </c>
      <c r="BW28" s="22">
        <v>7.3417762790699654E-3</v>
      </c>
      <c r="BX28" s="22">
        <v>5.9484774383101154E-3</v>
      </c>
      <c r="BY28" s="22">
        <v>4.7436720986790302E-3</v>
      </c>
      <c r="BZ28" s="22">
        <v>3.715686484965109E-3</v>
      </c>
      <c r="CA28" s="22">
        <v>2.8518205335386652E-3</v>
      </c>
      <c r="CB28" s="22">
        <v>2.1384302409862901E-3</v>
      </c>
      <c r="CC28" s="22">
        <v>1.5610523379610889E-3</v>
      </c>
      <c r="CD28" s="22">
        <v>1.1045776810989746E-3</v>
      </c>
      <c r="CE28" s="22">
        <v>7.5347858625792949E-4</v>
      </c>
      <c r="CF28" s="22">
        <v>4.9209288947303588E-4</v>
      </c>
      <c r="CG28" s="22">
        <v>3.0496333376973462E-4</v>
      </c>
      <c r="CH28" s="22">
        <v>1.772244433292473E-4</v>
      </c>
      <c r="CI28" s="22">
        <v>9.5019997882929858E-5</v>
      </c>
      <c r="CJ28" s="22">
        <v>4.5922610841909415E-5</v>
      </c>
      <c r="CK28" s="22">
        <v>1.931368133690133E-5</v>
      </c>
      <c r="CL28" s="22">
        <v>6.6696342893799449E-6</v>
      </c>
      <c r="CM28" s="22">
        <v>1.6937215623671372E-6</v>
      </c>
      <c r="CN28" s="22">
        <v>2.3932470278701363E-7</v>
      </c>
      <c r="CO28" s="22">
        <v>0</v>
      </c>
      <c r="CP28" s="22">
        <v>0</v>
      </c>
      <c r="CQ28" s="22">
        <v>0</v>
      </c>
      <c r="CR28" s="22">
        <v>0</v>
      </c>
      <c r="CS28" s="22">
        <v>0</v>
      </c>
      <c r="CT28" s="22">
        <v>0</v>
      </c>
      <c r="CU28" s="22">
        <v>0</v>
      </c>
      <c r="CV28" s="22">
        <v>0</v>
      </c>
    </row>
    <row r="29" spans="1:100" x14ac:dyDescent="0.25">
      <c r="C29" s="22">
        <v>0.94604559661813437</v>
      </c>
      <c r="D29" s="22">
        <v>0.92809605497227121</v>
      </c>
      <c r="E29" s="22">
        <v>0.91020323524458202</v>
      </c>
      <c r="F29" s="22">
        <v>0.89236932342736841</v>
      </c>
      <c r="G29" s="22">
        <v>0.87459651373282432</v>
      </c>
      <c r="H29" s="22">
        <v>0.85688705885792904</v>
      </c>
      <c r="I29" s="22">
        <v>0.83924327711144364</v>
      </c>
      <c r="J29" s="22">
        <v>0.82166755505428013</v>
      </c>
      <c r="K29" s="22">
        <v>0.80416234975621881</v>
      </c>
      <c r="L29" s="22">
        <v>0.78673019103784914</v>
      </c>
      <c r="M29" s="22">
        <v>0.76937368373080872</v>
      </c>
      <c r="N29" s="22">
        <v>0.75209550999043673</v>
      </c>
      <c r="O29" s="22">
        <v>0.7348984316649998</v>
      </c>
      <c r="P29" s="22">
        <v>0.71778529272405223</v>
      </c>
      <c r="Q29" s="22">
        <v>0.70075902174547611</v>
      </c>
      <c r="R29" s="22">
        <v>0.68382263446085045</v>
      </c>
      <c r="S29" s="22">
        <v>0.66697923635745737</v>
      </c>
      <c r="T29" s="22">
        <v>0.65023202533515745</v>
      </c>
      <c r="U29" s="22">
        <v>0.63358429441535036</v>
      </c>
      <c r="V29" s="22">
        <v>0.6170394344986212</v>
      </c>
      <c r="W29" s="22">
        <v>0.60060093716696772</v>
      </c>
      <c r="X29" s="22">
        <v>0.58427239752554794</v>
      </c>
      <c r="Y29" s="22">
        <v>0.56805751707779228</v>
      </c>
      <c r="Z29" s="22">
        <v>0.55196010662665529</v>
      </c>
      <c r="AA29" s="22">
        <v>0.53598408919342488</v>
      </c>
      <c r="AB29" s="22">
        <v>0.52013350294397553</v>
      </c>
      <c r="AC29" s="22">
        <v>0.5044125041106281</v>
      </c>
      <c r="AD29" s="22">
        <v>0.48882536989585124</v>
      </c>
      <c r="AE29" s="22">
        <v>0.47337650134178871</v>
      </c>
      <c r="AF29" s="22">
        <v>0.45807042614714688</v>
      </c>
      <c r="AG29" s="22">
        <v>0.44291180141004982</v>
      </c>
      <c r="AH29" s="22">
        <v>0.42790541627229584</v>
      </c>
      <c r="AI29" s="22">
        <v>0.4130561944367816</v>
      </c>
      <c r="AJ29" s="22">
        <v>0.39836919652571251</v>
      </c>
      <c r="AK29" s="22">
        <v>0.38384962224256231</v>
      </c>
      <c r="AL29" s="22">
        <v>0.36950281229540505</v>
      </c>
      <c r="AM29" s="22">
        <v>0.35533425003334712</v>
      </c>
      <c r="AN29" s="22">
        <v>0.34134956274102374</v>
      </c>
      <c r="AO29" s="22">
        <v>0.32755452252833156</v>
      </c>
      <c r="AP29" s="22">
        <v>0.31395504674426039</v>
      </c>
      <c r="AQ29" s="22">
        <v>0.30055719783384632</v>
      </c>
      <c r="AR29" s="22">
        <v>0.28736718254626237</v>
      </c>
      <c r="AS29" s="22">
        <v>0.27439135039003254</v>
      </c>
      <c r="AT29" s="22">
        <v>0.26163619121735093</v>
      </c>
      <c r="AU29" s="22">
        <v>0.24910833180404141</v>
      </c>
      <c r="AV29" s="22">
        <v>0.24083361630966477</v>
      </c>
      <c r="AW29" s="22">
        <v>0.22897369845383733</v>
      </c>
      <c r="AX29" s="22">
        <v>0.21734578085242001</v>
      </c>
      <c r="AY29" s="22">
        <v>0.20595651179995486</v>
      </c>
      <c r="AZ29" s="22">
        <v>0.19481264452161062</v>
      </c>
      <c r="BA29" s="22">
        <v>0.18392102711386824</v>
      </c>
      <c r="BB29" s="22">
        <v>0.17328859043632033</v>
      </c>
      <c r="BC29" s="22">
        <v>0.1629223336742204</v>
      </c>
      <c r="BD29" s="22">
        <v>0.1528293072577521</v>
      </c>
      <c r="BE29" s="22">
        <v>0.14301659278688894</v>
      </c>
      <c r="BF29" s="22">
        <v>0.13349127957027174</v>
      </c>
      <c r="BG29" s="22">
        <v>0.1242604373429937</v>
      </c>
      <c r="BH29" s="22">
        <v>0.11533108468122606</v>
      </c>
      <c r="BI29" s="22">
        <v>0.10671015258221914</v>
      </c>
      <c r="BJ29" s="22">
        <v>9.8404442626727345E-2</v>
      </c>
      <c r="BK29" s="22">
        <v>9.0420579088927117E-2</v>
      </c>
      <c r="BL29" s="22">
        <v>8.2764954307762109E-2</v>
      </c>
      <c r="BM29" s="22">
        <v>7.5443666586328728E-2</v>
      </c>
      <c r="BN29" s="22">
        <v>6.846244984623405E-2</v>
      </c>
      <c r="BO29" s="22">
        <v>6.1826594236434898E-2</v>
      </c>
      <c r="BP29" s="22">
        <v>5.5540856888940018E-2</v>
      </c>
      <c r="BQ29" s="22">
        <v>4.9609362035981666E-2</v>
      </c>
      <c r="BR29" s="22">
        <v>4.4035489768010062E-2</v>
      </c>
      <c r="BS29" s="22">
        <v>3.8821752836904297E-2</v>
      </c>
      <c r="BT29" s="22">
        <v>3.3969661116217E-2</v>
      </c>
      <c r="BU29" s="22">
        <v>2.9479573650276238E-2</v>
      </c>
      <c r="BV29" s="22">
        <v>2.5350538694085302E-2</v>
      </c>
      <c r="BW29" s="22">
        <v>2.1580122814143118E-2</v>
      </c>
      <c r="BX29" s="22">
        <v>1.8164231045661658E-2</v>
      </c>
      <c r="BY29" s="22">
        <v>1.5096921355319249E-2</v>
      </c>
      <c r="BZ29" s="22">
        <v>1.2370218322858006E-2</v>
      </c>
      <c r="CA29" s="22">
        <v>9.9739331190239634E-3</v>
      </c>
      <c r="CB29" s="22">
        <v>7.8954996089471777E-3</v>
      </c>
      <c r="CC29" s="22">
        <v>6.1198398153095379E-3</v>
      </c>
      <c r="CD29" s="22">
        <v>4.6292760454811274E-3</v>
      </c>
      <c r="CE29" s="22">
        <v>3.4035116184478967E-3</v>
      </c>
      <c r="CF29" s="22">
        <v>2.4197070098518703E-3</v>
      </c>
      <c r="CG29" s="22">
        <v>1.6526827041202883E-3</v>
      </c>
      <c r="CH29" s="22">
        <v>1.0752828828004548E-3</v>
      </c>
      <c r="CI29" s="22">
        <v>6.589332505270467E-4</v>
      </c>
      <c r="CJ29" s="22">
        <v>3.744186733362456E-4</v>
      </c>
      <c r="CK29" s="22">
        <v>1.9288750233797792E-4</v>
      </c>
      <c r="CL29" s="22">
        <v>8.7054167397082344E-5</v>
      </c>
      <c r="CM29" s="22">
        <v>3.2515043132410054E-5</v>
      </c>
      <c r="CN29" s="22">
        <v>9.0141435862663497E-6</v>
      </c>
      <c r="CO29" s="22">
        <v>1.4061464379351915E-6</v>
      </c>
      <c r="CP29" s="22">
        <v>0</v>
      </c>
      <c r="CQ29" s="22">
        <v>0</v>
      </c>
      <c r="CR29" s="22">
        <v>0</v>
      </c>
      <c r="CS29" s="22">
        <v>0</v>
      </c>
      <c r="CT29" s="22">
        <v>0</v>
      </c>
      <c r="CU29" s="22">
        <v>0</v>
      </c>
      <c r="CV29" s="22">
        <v>0</v>
      </c>
    </row>
    <row r="30" spans="1:100" x14ac:dyDescent="0.25">
      <c r="B30" s="22">
        <v>1.3498787345864707</v>
      </c>
      <c r="C30" s="22">
        <v>1.3281763169287049</v>
      </c>
      <c r="D30" s="22">
        <v>1.3064925077746754</v>
      </c>
      <c r="E30" s="22">
        <v>1.2848290118347891</v>
      </c>
      <c r="F30" s="22">
        <v>1.2631875861783559</v>
      </c>
      <c r="G30" s="22">
        <v>1.2415700513940737</v>
      </c>
      <c r="H30" s="22">
        <v>1.2199782951439784</v>
      </c>
      <c r="I30" s="22">
        <v>1.1984142749949287</v>
      </c>
      <c r="J30" s="22">
        <v>1.176880021266326</v>
      </c>
      <c r="K30" s="22">
        <v>1.1553776399740356</v>
      </c>
      <c r="L30" s="22">
        <v>1.133909315890405</v>
      </c>
      <c r="M30" s="22">
        <v>1.1124773157347001</v>
      </c>
      <c r="N30" s="22">
        <v>1.091083991502678</v>
      </c>
      <c r="O30" s="22">
        <v>1.0697317839426277</v>
      </c>
      <c r="P30" s="22">
        <v>1.0484232261852033</v>
      </c>
      <c r="Q30" s="22">
        <v>1.02716094753405</v>
      </c>
      <c r="R30" s="22">
        <v>1.0059476774244061</v>
      </c>
      <c r="S30" s="22">
        <v>0.98478624955736094</v>
      </c>
      <c r="T30" s="22">
        <v>0.96367960621713256</v>
      </c>
      <c r="U30" s="22">
        <v>0.94263080277926303</v>
      </c>
      <c r="V30" s="22">
        <v>0.92164301241779734</v>
      </c>
      <c r="W30" s="22">
        <v>0.90071953101949775</v>
      </c>
      <c r="X30" s="22">
        <v>0.87986378231339846</v>
      </c>
      <c r="Y30" s="22">
        <v>0.85907932322405944</v>
      </c>
      <c r="Z30" s="22">
        <v>0.83836984945697113</v>
      </c>
      <c r="AA30" s="22">
        <v>0.81773920132432654</v>
      </c>
      <c r="AB30" s="22">
        <v>0.79719136981959526</v>
      </c>
      <c r="AC30" s="22">
        <v>0.77673050294890267</v>
      </c>
      <c r="AD30" s="22">
        <v>0.75636091232672453</v>
      </c>
      <c r="AE30" s="22">
        <v>0.73608708004371848</v>
      </c>
      <c r="AF30" s="22">
        <v>0.71591366581269922</v>
      </c>
      <c r="AG30" s="22">
        <v>0.69584551439914788</v>
      </c>
      <c r="AH30" s="22">
        <v>0.67588766334073491</v>
      </c>
      <c r="AI30" s="22">
        <v>0.65604535095941896</v>
      </c>
      <c r="AJ30" s="22">
        <v>0.63632402466795823</v>
      </c>
      <c r="AK30" s="22">
        <v>0.61672934957048653</v>
      </c>
      <c r="AL30" s="22">
        <v>0.59726721735446375</v>
      </c>
      <c r="AM30" s="22">
        <v>0.57794375546796739</v>
      </c>
      <c r="AN30" s="22">
        <v>0.55876533657290506</v>
      </c>
      <c r="AO30" s="22">
        <v>0.53973858825992294</v>
      </c>
      <c r="AP30" s="22">
        <v>0.52087040300551857</v>
      </c>
      <c r="AQ30" s="22">
        <v>0.50216794834536793</v>
      </c>
      <c r="AR30" s="22">
        <v>0.48363867723012771</v>
      </c>
      <c r="AS30" s="22">
        <v>0.46529033852066976</v>
      </c>
      <c r="AT30" s="22">
        <v>0.44713098756895353</v>
      </c>
      <c r="AU30" s="22">
        <v>0.4291689968173622</v>
      </c>
      <c r="AV30" s="22">
        <v>0.41468319866509945</v>
      </c>
      <c r="AW30" s="22">
        <v>0.39756057544082368</v>
      </c>
      <c r="AX30" s="22">
        <v>0.38064578103635788</v>
      </c>
      <c r="AY30" s="22">
        <v>0.36394771307008006</v>
      </c>
      <c r="AZ30" s="22">
        <v>0.34747560528990323</v>
      </c>
      <c r="BA30" s="22">
        <v>0.33123903628973872</v>
      </c>
      <c r="BB30" s="22">
        <v>0.3152479375262483</v>
      </c>
      <c r="BC30" s="22">
        <v>0.29951260041101524</v>
      </c>
      <c r="BD30" s="22">
        <v>0.28404368220987697</v>
      </c>
      <c r="BE30" s="22">
        <v>0.26885221042905794</v>
      </c>
      <c r="BF30" s="22">
        <v>0.25394958530744555</v>
      </c>
      <c r="BG30" s="22">
        <v>0.23934757996239331</v>
      </c>
      <c r="BH30" s="22">
        <v>0.22505833765278507</v>
      </c>
      <c r="BI30" s="22">
        <v>0.2110943655242552</v>
      </c>
      <c r="BJ30" s="22">
        <v>0.19746852408614576</v>
      </c>
      <c r="BK30" s="22">
        <v>0.18419401153462472</v>
      </c>
      <c r="BL30" s="22">
        <v>0.17128434187879141</v>
      </c>
      <c r="BM30" s="22">
        <v>0.15875331564356832</v>
      </c>
      <c r="BN30" s="22">
        <v>0.146614981710743</v>
      </c>
      <c r="BO30" s="22">
        <v>0.13488358861484062</v>
      </c>
      <c r="BP30" s="22">
        <v>0.12357352333032984</v>
      </c>
      <c r="BQ30" s="22">
        <v>0.1126992352677791</v>
      </c>
      <c r="BR30" s="22">
        <v>0.10227514283895461</v>
      </c>
      <c r="BS30" s="22">
        <v>9.2315519553868838E-2</v>
      </c>
      <c r="BT30" s="22">
        <v>8.283435618255798E-2</v>
      </c>
      <c r="BU30" s="22">
        <v>7.3845195060785282E-2</v>
      </c>
      <c r="BV30" s="22">
        <v>6.5360932162349644E-2</v>
      </c>
      <c r="BW30" s="22">
        <v>5.739358213516399E-2</v>
      </c>
      <c r="BX30" s="22">
        <v>4.9954001159415909E-2</v>
      </c>
      <c r="BY30" s="22">
        <v>4.3051562319694432E-2</v>
      </c>
      <c r="BZ30" s="22">
        <v>3.6693778320617224E-2</v>
      </c>
      <c r="CA30" s="22">
        <v>3.0885867011624556E-2</v>
      </c>
      <c r="CB30" s="22">
        <v>2.5630256606160605E-2</v>
      </c>
      <c r="CC30" s="22">
        <v>2.0926030089562148E-2</v>
      </c>
      <c r="CD30" s="22">
        <v>1.676831267636272E-2</v>
      </c>
      <c r="CE30" s="22">
        <v>1.3147613072318211E-2</v>
      </c>
      <c r="CF30" s="22">
        <v>1.0049139723920703E-2</v>
      </c>
      <c r="CG30" s="22">
        <v>7.4521284313448007E-3</v>
      </c>
      <c r="CH30" s="22">
        <v>5.3292390156115385E-3</v>
      </c>
      <c r="CI30" s="22">
        <v>3.6461073330009909E-3</v>
      </c>
      <c r="CJ30" s="22">
        <v>2.3611750647096492E-3</v>
      </c>
      <c r="CK30" s="22">
        <v>1.4259612182483149E-3</v>
      </c>
      <c r="CL30" s="22">
        <v>7.8597885391157242E-4</v>
      </c>
      <c r="CM30" s="22">
        <v>3.8252117537601745E-4</v>
      </c>
      <c r="CN30" s="22">
        <v>1.5550950460531068E-4</v>
      </c>
      <c r="CO30" s="22">
        <v>4.745543779149806E-5</v>
      </c>
      <c r="CP30" s="22">
        <v>8.2617790052296037E-6</v>
      </c>
      <c r="CQ30" s="22">
        <v>0</v>
      </c>
      <c r="CR30" s="22">
        <v>0</v>
      </c>
      <c r="CS30" s="22">
        <v>0</v>
      </c>
      <c r="CT30" s="22">
        <v>0</v>
      </c>
      <c r="CU30" s="22">
        <v>0</v>
      </c>
      <c r="CV30" s="22">
        <v>0</v>
      </c>
    </row>
    <row r="31" spans="1:100" x14ac:dyDescent="0.25">
      <c r="A31" s="22">
        <v>1.8734006688524341</v>
      </c>
      <c r="B31" s="22">
        <v>1.8480683979303036</v>
      </c>
      <c r="C31" s="22">
        <v>1.8227095836101204</v>
      </c>
      <c r="D31" s="22">
        <v>1.7973251827426924</v>
      </c>
      <c r="E31" s="22">
        <v>1.7719161883488854</v>
      </c>
      <c r="F31" s="22">
        <v>1.7464836396338899</v>
      </c>
      <c r="G31" s="22">
        <v>1.7210286267935007</v>
      </c>
      <c r="H31" s="22">
        <v>1.6955522944842649</v>
      </c>
      <c r="I31" s="22">
        <v>1.6700558447840055</v>
      </c>
      <c r="J31" s="22">
        <v>1.6445405401444446</v>
      </c>
      <c r="K31" s="22">
        <v>1.619007706429773</v>
      </c>
      <c r="L31" s="22">
        <v>1.5934587360809311</v>
      </c>
      <c r="M31" s="22">
        <v>1.5678950914326948</v>
      </c>
      <c r="N31" s="22">
        <v>1.5423183082029195</v>
      </c>
      <c r="O31" s="22">
        <v>1.5167299991701511</v>
      </c>
      <c r="P31" s="22">
        <v>1.491131858054209</v>
      </c>
      <c r="Q31" s="22">
        <v>1.4655256636134271</v>
      </c>
      <c r="R31" s="22">
        <v>1.4399132839728779</v>
      </c>
      <c r="S31" s="22">
        <v>1.4142966811982256</v>
      </c>
      <c r="T31" s="22">
        <v>1.3886779161311655</v>
      </c>
      <c r="U31" s="22">
        <v>1.3630591535031042</v>
      </c>
      <c r="V31" s="22">
        <v>1.3374426673447817</v>
      </c>
      <c r="W31" s="22">
        <v>1.311830846711078</v>
      </c>
      <c r="X31" s="22">
        <v>1.286226201741197</v>
      </c>
      <c r="Y31" s="22">
        <v>1.2606313700759768</v>
      </c>
      <c r="Z31" s="22">
        <v>1.2350491236555341</v>
      </c>
      <c r="AA31" s="22">
        <v>1.2094823759220528</v>
      </c>
      <c r="AB31" s="22">
        <v>1.1839341894541866</v>
      </c>
      <c r="AC31" s="22">
        <v>1.1584077840614204</v>
      </c>
      <c r="AD31" s="22">
        <v>1.1329065453685694</v>
      </c>
      <c r="AE31" s="22">
        <v>1.1074340339227429</v>
      </c>
      <c r="AF31" s="22">
        <v>1.0819939948571335</v>
      </c>
      <c r="AG31" s="22">
        <v>1.0565903681484805</v>
      </c>
      <c r="AH31" s="22">
        <v>1.0312272995072485</v>
      </c>
      <c r="AI31" s="22">
        <v>1.0059091519422583</v>
      </c>
      <c r="AJ31" s="22">
        <v>0.98064051804409369</v>
      </c>
      <c r="AK31" s="22">
        <v>0.95542623303439822</v>
      </c>
      <c r="AL31" s="22">
        <v>0.93027138863100611</v>
      </c>
      <c r="AM31" s="22">
        <v>0.90518134778189752</v>
      </c>
      <c r="AN31" s="22">
        <v>0.8801617603237043</v>
      </c>
      <c r="AO31" s="22">
        <v>0.85521857962387737</v>
      </c>
      <c r="AP31" s="22">
        <v>0.83035808026832203</v>
      </c>
      <c r="AQ31" s="22">
        <v>0.80558687685912589</v>
      </c>
      <c r="AR31" s="22">
        <v>0.78091194399006114</v>
      </c>
      <c r="AS31" s="22">
        <v>0.75634063746961067</v>
      </c>
      <c r="AT31" s="22">
        <v>0.7318807168633108</v>
      </c>
      <c r="AU31" s="22">
        <v>0.70754036942889487</v>
      </c>
      <c r="AV31" s="22">
        <v>0.68333191679746952</v>
      </c>
      <c r="AW31" s="22">
        <v>0.65998456350833878</v>
      </c>
      <c r="AX31" s="22">
        <v>0.6367716219914944</v>
      </c>
      <c r="AY31" s="22">
        <v>0.61370223012930181</v>
      </c>
      <c r="AZ31" s="22">
        <v>0.59078602951810488</v>
      </c>
      <c r="BA31" s="22">
        <v>0.56803319519786777</v>
      </c>
      <c r="BB31" s="22">
        <v>0.54545446707663359</v>
      </c>
      <c r="BC31" s="22">
        <v>0.52306118309670513</v>
      </c>
      <c r="BD31" s="22">
        <v>0.50086531417502322</v>
      </c>
      <c r="BE31" s="22">
        <v>0.47887950093053933</v>
      </c>
      <c r="BF31" s="22">
        <v>0.45711709218475716</v>
      </c>
      <c r="BG31" s="22">
        <v>0.43559218518650339</v>
      </c>
      <c r="BH31" s="22">
        <v>0.41431966746550064</v>
      </c>
      <c r="BI31" s="22">
        <v>0.39331526015962992</v>
      </c>
      <c r="BJ31" s="22">
        <v>0.37259556258282239</v>
      </c>
      <c r="BK31" s="22">
        <v>0.35217809770082259</v>
      </c>
      <c r="BL31" s="22">
        <v>0.33208135805467986</v>
      </c>
      <c r="BM31" s="22">
        <v>0.31232485150880196</v>
      </c>
      <c r="BN31" s="22">
        <v>0.29292914599354436</v>
      </c>
      <c r="BO31" s="22">
        <v>0.27391591214954675</v>
      </c>
      <c r="BP31" s="22">
        <v>0.2553079624481856</v>
      </c>
      <c r="BQ31" s="22">
        <v>0.2371292849416238</v>
      </c>
      <c r="BR31" s="22">
        <v>0.21940506926432235</v>
      </c>
      <c r="BS31" s="22">
        <v>0.20216172183772657</v>
      </c>
      <c r="BT31" s="22">
        <v>0.18542686638633407</v>
      </c>
      <c r="BU31" s="22">
        <v>0.16922932481373551</v>
      </c>
      <c r="BV31" s="22">
        <v>0.15359907216000349</v>
      </c>
      <c r="BW31" s="22">
        <v>0.13856715770492473</v>
      </c>
      <c r="BX31" s="22">
        <v>0.12416558222232822</v>
      </c>
      <c r="BY31" s="22">
        <v>0.11042711884881051</v>
      </c>
      <c r="BZ31" s="22">
        <v>9.7385061919258928E-2</v>
      </c>
      <c r="CA31" s="22">
        <v>8.5072884362789383E-2</v>
      </c>
      <c r="CB31" s="22">
        <v>7.3523779794599051E-2</v>
      </c>
      <c r="CC31" s="22">
        <v>6.2770060296845426E-2</v>
      </c>
      <c r="CD31" s="22">
        <v>5.2842375209359804E-2</v>
      </c>
      <c r="CE31" s="22">
        <v>4.3768710464785129E-2</v>
      </c>
      <c r="CF31" s="22">
        <v>3.5573122993473441E-2</v>
      </c>
      <c r="CG31" s="22">
        <v>2.8274162202941523E-2</v>
      </c>
      <c r="CH31" s="22">
        <v>2.1882933604703704E-2</v>
      </c>
      <c r="CI31" s="22">
        <v>1.64007736740171E-2</v>
      </c>
      <c r="CJ31" s="22">
        <v>1.1816538873918918E-2</v>
      </c>
      <c r="CK31" s="22">
        <v>8.103579547312445E-3</v>
      </c>
      <c r="CL31" s="22">
        <v>5.2165920943953942E-3</v>
      </c>
      <c r="CM31" s="22">
        <v>3.0887488483963416E-3</v>
      </c>
      <c r="CN31" s="22">
        <v>1.6298252774343798E-3</v>
      </c>
      <c r="CO31" s="22">
        <v>7.264928956101425E-4</v>
      </c>
      <c r="CP31" s="22">
        <v>2.4646735879869014E-4</v>
      </c>
      <c r="CQ31" s="22">
        <v>4.8541880482597112E-5</v>
      </c>
      <c r="CR31" s="22">
        <v>0</v>
      </c>
      <c r="CS31" s="22">
        <v>0</v>
      </c>
      <c r="CT31" s="22">
        <v>0</v>
      </c>
      <c r="CU31" s="22">
        <v>0</v>
      </c>
      <c r="CV31" s="22">
        <v>0</v>
      </c>
    </row>
    <row r="32" spans="1:100" x14ac:dyDescent="0.25">
      <c r="B32" s="22">
        <v>2.4754608938746538</v>
      </c>
      <c r="C32" s="22">
        <v>2.4467394636742172</v>
      </c>
      <c r="D32" s="22">
        <v>2.4179444456938626</v>
      </c>
      <c r="E32" s="22">
        <v>2.3890759387381779</v>
      </c>
      <c r="F32" s="22">
        <v>2.3601340230633183</v>
      </c>
      <c r="G32" s="22">
        <v>2.3311187896937251</v>
      </c>
      <c r="H32" s="22">
        <v>2.3020303516644978</v>
      </c>
      <c r="I32" s="22">
        <v>2.2728688501011933</v>
      </c>
      <c r="J32" s="22">
        <v>2.243634457321332</v>
      </c>
      <c r="K32" s="22">
        <v>2.2143273794601339</v>
      </c>
      <c r="L32" s="22">
        <v>2.1849478589979188</v>
      </c>
      <c r="M32" s="22">
        <v>2.1554961773022976</v>
      </c>
      <c r="N32" s="22">
        <v>2.1259726572613786</v>
      </c>
      <c r="O32" s="22">
        <v>2.0963776660492712</v>
      </c>
      <c r="P32" s="22">
        <v>2.0667116180568232</v>
      </c>
      <c r="Q32" s="22">
        <v>2.0369749780118958</v>
      </c>
      <c r="R32" s="22">
        <v>2.0071682643073627</v>
      </c>
      <c r="S32" s="22">
        <v>1.9772920525550493</v>
      </c>
      <c r="T32" s="22">
        <v>1.947346979384031</v>
      </c>
      <c r="U32" s="22">
        <v>1.9173337465026614</v>
      </c>
      <c r="V32" s="22">
        <v>1.8872531250451436</v>
      </c>
      <c r="W32" s="22">
        <v>1.8571059602251316</v>
      </c>
      <c r="X32" s="22">
        <v>1.8268931763204734</v>
      </c>
      <c r="Y32" s="22">
        <v>1.7966157820157205</v>
      </c>
      <c r="Z32" s="22">
        <v>1.7662748761308193</v>
      </c>
      <c r="AA32" s="22">
        <v>1.7358716537673367</v>
      </c>
      <c r="AB32" s="22">
        <v>1.7054074129062109</v>
      </c>
      <c r="AC32" s="22">
        <v>1.6748835614941771</v>
      </c>
      <c r="AD32" s="22">
        <v>1.6443016250591986</v>
      </c>
      <c r="AE32" s="22">
        <v>1.6136632548992891</v>
      </c>
      <c r="AF32" s="22">
        <v>1.5829702368931446</v>
      </c>
      <c r="AG32" s="22">
        <v>1.5522245009852453</v>
      </c>
      <c r="AH32" s="22">
        <v>1.5214281314035112</v>
      </c>
      <c r="AI32" s="22">
        <v>1.4905833776729192</v>
      </c>
      <c r="AJ32" s="22">
        <v>1.4596926664945833</v>
      </c>
      <c r="AK32" s="22">
        <v>1.4287586145666105</v>
      </c>
      <c r="AL32" s="22">
        <v>1.3977840424304822</v>
      </c>
      <c r="AM32" s="22">
        <v>1.3667719894350441</v>
      </c>
      <c r="AN32" s="22">
        <v>1.3357257299190586</v>
      </c>
      <c r="AO32" s="22">
        <v>1.3046487907237836</v>
      </c>
      <c r="AP32" s="22">
        <v>1.2735449701579493</v>
      </c>
      <c r="AQ32" s="22">
        <v>1.2424183585500856</v>
      </c>
      <c r="AR32" s="22">
        <v>1.2112733605367578</v>
      </c>
      <c r="AS32" s="22">
        <v>1.1801147192506112</v>
      </c>
      <c r="AT32" s="22">
        <v>1.148947542589253</v>
      </c>
      <c r="AU32" s="22">
        <v>1.117777331764116</v>
      </c>
      <c r="AV32" s="22">
        <v>1.0791402976574194</v>
      </c>
      <c r="AW32" s="22">
        <v>1.0490745891308322</v>
      </c>
      <c r="AX32" s="22">
        <v>1.0190220911801615</v>
      </c>
      <c r="AY32" s="22">
        <v>0.9889893823743926</v>
      </c>
      <c r="AZ32" s="22">
        <v>0.95898354086004733</v>
      </c>
      <c r="BA32" s="22">
        <v>0.92901218462682311</v>
      </c>
      <c r="BB32" s="22">
        <v>0.89908351542972154</v>
      </c>
      <c r="BC32" s="22">
        <v>0.86920636673417373</v>
      </c>
      <c r="BD32" s="22">
        <v>0.83939025608971651</v>
      </c>
      <c r="BE32" s="22">
        <v>0.80964544238001268</v>
      </c>
      <c r="BF32" s="22">
        <v>0.77998298844340375</v>
      </c>
      <c r="BG32" s="22">
        <v>0.75041482960864414</v>
      </c>
      <c r="BH32" s="22">
        <v>0.72095384874504831</v>
      </c>
      <c r="BI32" s="22">
        <v>0.69161395848430429</v>
      </c>
      <c r="BJ32" s="22">
        <v>0.66241019133333545</v>
      </c>
      <c r="BK32" s="22">
        <v>0.63335879846100218</v>
      </c>
      <c r="BL32" s="22">
        <v>0.60447735800690872</v>
      </c>
      <c r="BM32" s="22">
        <v>0.57578489382312947</v>
      </c>
      <c r="BN32" s="22">
        <v>0.5473020056181962</v>
      </c>
      <c r="BO32" s="22">
        <v>0.51905101151957656</v>
      </c>
      <c r="BP32" s="22">
        <v>0.491056104099518</v>
      </c>
      <c r="BQ32" s="22">
        <v>0.46334352090748432</v>
      </c>
      <c r="BR32" s="22">
        <v>0.4359417305043144</v>
      </c>
      <c r="BS32" s="22">
        <v>0.40888163487479084</v>
      </c>
      <c r="BT32" s="22">
        <v>0.38219678887396713</v>
      </c>
      <c r="BU32" s="22">
        <v>0.3559236369904793</v>
      </c>
      <c r="BV32" s="22">
        <v>0.3301017671208028</v>
      </c>
      <c r="BW32" s="22">
        <v>0.30477418014685392</v>
      </c>
      <c r="BX32" s="22">
        <v>0.27998757276272229</v>
      </c>
      <c r="BY32" s="22">
        <v>0.25579262901399752</v>
      </c>
      <c r="BZ32" s="22">
        <v>0.23224431312803057</v>
      </c>
      <c r="CA32" s="22">
        <v>0.20940215204622781</v>
      </c>
      <c r="CB32" s="22">
        <v>0.18733049008434252</v>
      </c>
      <c r="CC32" s="22">
        <v>0.1660986895907188</v>
      </c>
      <c r="CD32" s="22">
        <v>0.14578123928807013</v>
      </c>
      <c r="CE32" s="22">
        <v>0.12645771470710759</v>
      </c>
      <c r="CF32" s="22">
        <v>0.10821251074829916</v>
      </c>
      <c r="CG32" s="22">
        <v>9.1134232280101785E-2</v>
      </c>
      <c r="CH32" s="22">
        <v>7.5314581426884908E-2</v>
      </c>
      <c r="CI32" s="22">
        <v>6.0846515928721374E-2</v>
      </c>
      <c r="CJ32" s="22">
        <v>4.7821368094992503E-2</v>
      </c>
      <c r="CK32" s="22">
        <v>3.6324507524775021E-2</v>
      </c>
      <c r="CL32" s="22">
        <v>2.6429010436701882E-2</v>
      </c>
      <c r="CM32" s="22">
        <v>1.8186692929547384E-2</v>
      </c>
      <c r="CN32" s="22">
        <v>1.1615852059650988E-2</v>
      </c>
      <c r="CO32" s="22">
        <v>6.6853169774716073E-3</v>
      </c>
      <c r="CP32" s="22">
        <v>3.2953223787264758E-3</v>
      </c>
      <c r="CQ32" s="22">
        <v>1.258006608379254E-3</v>
      </c>
      <c r="CR32" s="22">
        <v>2.8520663156113643E-4</v>
      </c>
      <c r="CS32" s="22">
        <v>0</v>
      </c>
      <c r="CT32" s="22">
        <v>0</v>
      </c>
      <c r="CU32" s="22">
        <v>0</v>
      </c>
      <c r="CV32" s="22">
        <v>0</v>
      </c>
    </row>
    <row r="33" spans="3:100" x14ac:dyDescent="0.25">
      <c r="C33" s="22">
        <v>3.2149954084910553</v>
      </c>
      <c r="D33" s="22">
        <v>3.1833479553242161</v>
      </c>
      <c r="E33" s="22">
        <v>3.1515795219961538</v>
      </c>
      <c r="F33" s="22">
        <v>3.1196893785323967</v>
      </c>
      <c r="G33" s="22">
        <v>3.0876765949260014</v>
      </c>
      <c r="H33" s="22">
        <v>3.055540166030851</v>
      </c>
      <c r="I33" s="22">
        <v>3.0232790509681342</v>
      </c>
      <c r="J33" s="22">
        <v>2.9908921938707715</v>
      </c>
      <c r="K33" s="22">
        <v>2.9583785289102611</v>
      </c>
      <c r="L33" s="22">
        <v>2.9257369827926878</v>
      </c>
      <c r="M33" s="22">
        <v>2.8929664764725289</v>
      </c>
      <c r="N33" s="22">
        <v>2.8600659264318584</v>
      </c>
      <c r="O33" s="22">
        <v>2.827034245795979</v>
      </c>
      <c r="P33" s="22">
        <v>2.7938703453836498</v>
      </c>
      <c r="Q33" s="22">
        <v>2.7605731347798139</v>
      </c>
      <c r="R33" s="22">
        <v>2.7271415234853795</v>
      </c>
      <c r="S33" s="22">
        <v>2.6935744221679587</v>
      </c>
      <c r="T33" s="22">
        <v>2.6598707440325557</v>
      </c>
      <c r="U33" s="22">
        <v>2.6260294063278726</v>
      </c>
      <c r="V33" s="22">
        <v>2.5920493320043594</v>
      </c>
      <c r="W33" s="22">
        <v>2.5579294515395556</v>
      </c>
      <c r="X33" s="22">
        <v>2.5236687049486628</v>
      </c>
      <c r="Y33" s="22">
        <v>2.4892660439981711</v>
      </c>
      <c r="Z33" s="22">
        <v>2.4547204346432179</v>
      </c>
      <c r="AA33" s="22">
        <v>2.4200308597114581</v>
      </c>
      <c r="AB33" s="22">
        <v>2.3851963218574554</v>
      </c>
      <c r="AC33" s="22">
        <v>2.3502158468158654</v>
      </c>
      <c r="AD33" s="22">
        <v>2.3150884869831927</v>
      </c>
      <c r="AE33" s="22">
        <v>2.2798133253622264</v>
      </c>
      <c r="AF33" s="22">
        <v>2.2443894799064714</v>
      </c>
      <c r="AG33" s="22">
        <v>2.2088161083064555</v>
      </c>
      <c r="AH33" s="22">
        <v>2.173092413264389</v>
      </c>
      <c r="AI33" s="22">
        <v>2.1372176483087464</v>
      </c>
      <c r="AJ33" s="22">
        <v>2.1011911242070691</v>
      </c>
      <c r="AK33" s="22">
        <v>2.0650122160413198</v>
      </c>
      <c r="AL33" s="22">
        <v>2.0286803710181198</v>
      </c>
      <c r="AM33" s="22">
        <v>1.9921951170951526</v>
      </c>
      <c r="AN33" s="22">
        <v>1.9555560725143937</v>
      </c>
      <c r="AO33" s="22">
        <v>1.9187629563443152</v>
      </c>
      <c r="AP33" s="22">
        <v>1.8818156001459316</v>
      </c>
      <c r="AQ33" s="22">
        <v>1.8447139608916574</v>
      </c>
      <c r="AR33" s="22">
        <v>1.8074581352828842</v>
      </c>
      <c r="AS33" s="22">
        <v>1.770048375630884</v>
      </c>
      <c r="AT33" s="22">
        <v>1.7324851074867262</v>
      </c>
      <c r="AU33" s="22">
        <v>1.6947689492311435</v>
      </c>
      <c r="AV33" s="22">
        <v>1.6358321906139595</v>
      </c>
      <c r="AW33" s="22">
        <v>1.5992685046722566</v>
      </c>
      <c r="AX33" s="22">
        <v>1.5625659181789346</v>
      </c>
      <c r="AY33" s="22">
        <v>1.5257258416311434</v>
      </c>
      <c r="AZ33" s="22">
        <v>1.488749964358272</v>
      </c>
      <c r="BA33" s="22">
        <v>1.4516402853753303</v>
      </c>
      <c r="BB33" s="22">
        <v>1.4143991478260711</v>
      </c>
      <c r="BC33" s="22">
        <v>1.377029277483153</v>
      </c>
      <c r="BD33" s="22">
        <v>1.3395338258419243</v>
      </c>
      <c r="BE33" s="22">
        <v>1.3019164184231995</v>
      </c>
      <c r="BF33" s="22">
        <v>1.2641812089943703</v>
      </c>
      <c r="BG33" s="22">
        <v>1.2263329405261805</v>
      </c>
      <c r="BH33" s="22">
        <v>1.1883770138304006</v>
      </c>
      <c r="BI33" s="22">
        <v>1.1503195649724076</v>
      </c>
      <c r="BJ33" s="22">
        <v>1.112167552728895</v>
      </c>
      <c r="BK33" s="22">
        <v>1.0739288575678245</v>
      </c>
      <c r="BL33" s="22">
        <v>1.0356123938717645</v>
      </c>
      <c r="BM33" s="22">
        <v>0.99722823741609257</v>
      </c>
      <c r="BN33" s="22">
        <v>0.95878777045531638</v>
      </c>
      <c r="BO33" s="22">
        <v>0.92030384717909308</v>
      </c>
      <c r="BP33" s="22">
        <v>0.88179098278381329</v>
      </c>
      <c r="BQ33" s="22">
        <v>0.84326556998319402</v>
      </c>
      <c r="BR33" s="22">
        <v>0.80474612747017649</v>
      </c>
      <c r="BS33" s="22">
        <v>0.76625358566473833</v>
      </c>
      <c r="BT33" s="22">
        <v>0.72781161606374356</v>
      </c>
      <c r="BU33" s="22">
        <v>0.68944701168004352</v>
      </c>
      <c r="BV33" s="22">
        <v>0.65119012745264826</v>
      </c>
      <c r="BW33" s="22">
        <v>0.61307539116496201</v>
      </c>
      <c r="BX33" s="22">
        <v>0.57514189736178301</v>
      </c>
      <c r="BY33" s="22">
        <v>0.53743409904100747</v>
      </c>
      <c r="BZ33" s="22">
        <v>0.50000261453167316</v>
      </c>
      <c r="CA33" s="22">
        <v>0.46290516994199726</v>
      </c>
      <c r="CB33" s="22">
        <v>0.42620770078845688</v>
      </c>
      <c r="CC33" s="22">
        <v>0.38998563969210559</v>
      </c>
      <c r="CD33" s="22">
        <v>0.35432541991004302</v>
      </c>
      <c r="CE33" s="22">
        <v>0.31932622609277406</v>
      </c>
      <c r="CF33" s="22">
        <v>0.28510202239806137</v>
      </c>
      <c r="CG33" s="22">
        <v>0.25178388096541959</v>
      </c>
      <c r="CH33" s="22">
        <v>0.21952261536370546</v>
      </c>
      <c r="CI33" s="22">
        <v>0.18849168425397464</v>
      </c>
      <c r="CJ33" s="22">
        <v>0.15889025278138277</v>
      </c>
      <c r="CK33" s="22">
        <v>0.13094615214741814</v>
      </c>
      <c r="CL33" s="22">
        <v>0.10491820658407477</v>
      </c>
      <c r="CM33" s="22">
        <v>8.1096905741336059E-2</v>
      </c>
      <c r="CN33" s="22">
        <v>5.9801526167775683E-2</v>
      </c>
      <c r="CO33" s="22">
        <v>4.1370284638057461E-2</v>
      </c>
      <c r="CP33" s="22">
        <v>2.6137560605621678E-2</v>
      </c>
      <c r="CQ33" s="22">
        <v>1.4388276526572286E-2</v>
      </c>
      <c r="CR33" s="22">
        <v>6.2744219658889561E-3</v>
      </c>
      <c r="CS33" s="22">
        <v>1.6757245882897936E-3</v>
      </c>
      <c r="CT33" s="22">
        <v>0</v>
      </c>
      <c r="CU33" s="22">
        <v>0</v>
      </c>
      <c r="CV33" s="22">
        <v>0</v>
      </c>
    </row>
    <row r="34" spans="3:100" x14ac:dyDescent="0.25">
      <c r="D34" s="22">
        <v>4.1047102069814949</v>
      </c>
      <c r="E34" s="22">
        <v>4.0708557560944199</v>
      </c>
      <c r="F34" s="22">
        <v>4.0368375170751971</v>
      </c>
      <c r="G34" s="22">
        <v>4.0026547559398926</v>
      </c>
      <c r="H34" s="22">
        <v>3.9683058365898356</v>
      </c>
      <c r="I34" s="22">
        <v>3.9337887944612633</v>
      </c>
      <c r="J34" s="22">
        <v>3.8991014838422267</v>
      </c>
      <c r="K34" s="22">
        <v>3.864241677552072</v>
      </c>
      <c r="L34" s="22">
        <v>3.8292070842782211</v>
      </c>
      <c r="M34" s="22">
        <v>3.7939953540933291</v>
      </c>
      <c r="N34" s="22">
        <v>3.7586040809900405</v>
      </c>
      <c r="O34" s="22">
        <v>3.7230308033767199</v>
      </c>
      <c r="P34" s="22">
        <v>3.687273003710505</v>
      </c>
      <c r="Q34" s="22">
        <v>3.6513281074749049</v>
      </c>
      <c r="R34" s="22">
        <v>3.6151934817898215</v>
      </c>
      <c r="S34" s="22">
        <v>3.5788664338615703</v>
      </c>
      <c r="T34" s="22">
        <v>3.542344209322867</v>
      </c>
      <c r="U34" s="22">
        <v>3.5056239904927433</v>
      </c>
      <c r="V34" s="22">
        <v>3.468702894567496</v>
      </c>
      <c r="W34" s="22">
        <v>3.4315779717512309</v>
      </c>
      <c r="X34" s="22">
        <v>3.3942462033302885</v>
      </c>
      <c r="Y34" s="22">
        <v>3.3567044996940902</v>
      </c>
      <c r="Z34" s="22">
        <v>3.3189496983041771</v>
      </c>
      <c r="AA34" s="22">
        <v>3.2809785616136655</v>
      </c>
      <c r="AB34" s="22">
        <v>3.2427877749389631</v>
      </c>
      <c r="AC34" s="22">
        <v>3.2043739442866155</v>
      </c>
      <c r="AD34" s="22">
        <v>3.1657335941384801</v>
      </c>
      <c r="AE34" s="22">
        <v>3.1268631651992029</v>
      </c>
      <c r="AF34" s="22">
        <v>3.0877590121111327</v>
      </c>
      <c r="AG34" s="22">
        <v>3.0484174011429737</v>
      </c>
      <c r="AH34" s="22">
        <v>3.0088345078597336</v>
      </c>
      <c r="AI34" s="22">
        <v>2.9690064147834301</v>
      </c>
      <c r="AJ34" s="22">
        <v>2.9289291090555238</v>
      </c>
      <c r="AK34" s="22">
        <v>2.888598480115137</v>
      </c>
      <c r="AL34" s="22">
        <v>2.8480103174089</v>
      </c>
      <c r="AM34" s="22">
        <v>2.807160308152171</v>
      </c>
      <c r="AN34" s="22">
        <v>2.7660440351647368</v>
      </c>
      <c r="AO34" s="22">
        <v>2.7246569748086591</v>
      </c>
      <c r="AP34" s="22">
        <v>2.6829944950610418</v>
      </c>
      <c r="AQ34" s="22">
        <v>2.6410518537606733</v>
      </c>
      <c r="AR34" s="22">
        <v>2.5988241970747872</v>
      </c>
      <c r="AS34" s="22">
        <v>2.556306558240323</v>
      </c>
      <c r="AT34" s="22">
        <v>2.5134938566448239</v>
      </c>
      <c r="AU34" s="22">
        <v>2.4703808973234045</v>
      </c>
      <c r="AV34" s="22">
        <v>2.3843590240066268</v>
      </c>
      <c r="AW34" s="22">
        <v>2.3423697524801037</v>
      </c>
      <c r="AX34" s="22">
        <v>2.3000888800456649</v>
      </c>
      <c r="AY34" s="22">
        <v>2.2575113881253679</v>
      </c>
      <c r="AZ34" s="22">
        <v>2.2146321629267858</v>
      </c>
      <c r="BA34" s="22">
        <v>2.1714459985995691</v>
      </c>
      <c r="BB34" s="22">
        <v>2.1279476015193368</v>
      </c>
      <c r="BC34" s="22">
        <v>2.084131595916408</v>
      </c>
      <c r="BD34" s="22">
        <v>2.0399925311083553</v>
      </c>
      <c r="BE34" s="22">
        <v>1.9955248906451122</v>
      </c>
      <c r="BF34" s="22">
        <v>1.9507231037352395</v>
      </c>
      <c r="BG34" s="22">
        <v>1.9055815593938865</v>
      </c>
      <c r="BH34" s="22">
        <v>1.8600946238421001</v>
      </c>
      <c r="BI34" s="22">
        <v>1.8142566617928697</v>
      </c>
      <c r="BJ34" s="22">
        <v>1.7680620623907479</v>
      </c>
      <c r="BK34" s="22">
        <v>1.7215052707315981</v>
      </c>
      <c r="BL34" s="22">
        <v>1.6745808260858226</v>
      </c>
      <c r="BM34" s="22">
        <v>1.627283408191514</v>
      </c>
      <c r="BN34" s="22">
        <v>1.5796078932846818</v>
      </c>
      <c r="BO34" s="22">
        <v>1.5315494219082177</v>
      </c>
      <c r="BP34" s="22">
        <v>1.4831034810094421</v>
      </c>
      <c r="BQ34" s="22">
        <v>1.4342660034238979</v>
      </c>
      <c r="BR34" s="22">
        <v>1.3850334885842595</v>
      </c>
      <c r="BS34" s="22">
        <v>1.3354031492337612</v>
      </c>
      <c r="BT34" s="22">
        <v>1.285373090123195</v>
      </c>
      <c r="BU34" s="22">
        <v>1.2349425262077269</v>
      </c>
      <c r="BV34" s="22">
        <v>1.1841120498437401</v>
      </c>
      <c r="BW34" s="22">
        <v>1.1328839590617268</v>
      </c>
      <c r="BX34" s="22">
        <v>1.0812626623558357</v>
      </c>
      <c r="BY34" s="22">
        <v>1.0292551798600507</v>
      </c>
      <c r="BZ34" s="22">
        <v>0.97687176665132802</v>
      </c>
      <c r="CA34" s="22">
        <v>0.92412669176119988</v>
      </c>
      <c r="CB34" s="22">
        <v>0.87103921703739795</v>
      </c>
      <c r="CC34" s="22">
        <v>0.81763483433452777</v>
      </c>
      <c r="CD34" s="22">
        <v>0.76394683915041295</v>
      </c>
      <c r="CE34" s="22">
        <v>0.71001834596193902</v>
      </c>
      <c r="CF34" s="22">
        <v>0.65590488834977356</v>
      </c>
      <c r="CG34" s="22">
        <v>0.6016778002176838</v>
      </c>
      <c r="CH34" s="22">
        <v>0.54742864987355755</v>
      </c>
      <c r="CI34" s="22">
        <v>0.49327510647276829</v>
      </c>
      <c r="CJ34" s="22">
        <v>0.43936877276554803</v>
      </c>
      <c r="CK34" s="22">
        <v>0.38590573929115773</v>
      </c>
      <c r="CL34" s="22">
        <v>0.33314092867505218</v>
      </c>
      <c r="CM34" s="22">
        <v>0.28140772998170627</v>
      </c>
      <c r="CN34" s="22">
        <v>0.2311449740338411</v>
      </c>
      <c r="CO34" s="22">
        <v>0.18293387229572497</v>
      </c>
      <c r="CP34" s="22">
        <v>0.13754770234533079</v>
      </c>
      <c r="CQ34" s="22">
        <v>9.6015335576728894E-2</v>
      </c>
      <c r="CR34" s="22">
        <v>5.9691819395622236E-2</v>
      </c>
      <c r="CS34" s="22">
        <v>3.0302511712644181E-2</v>
      </c>
      <c r="CT34" s="22">
        <v>9.8456788344243786E-3</v>
      </c>
      <c r="CU34" s="22">
        <v>0</v>
      </c>
      <c r="CV34" s="22">
        <v>0</v>
      </c>
    </row>
    <row r="35" spans="3:100" x14ac:dyDescent="0.25">
      <c r="E35" s="22">
        <v>5.1531619035510516</v>
      </c>
      <c r="F35" s="22">
        <v>5.1180478454085012</v>
      </c>
      <c r="G35" s="22">
        <v>5.0827333415868097</v>
      </c>
      <c r="H35" s="22">
        <v>5.0472214506331303</v>
      </c>
      <c r="I35" s="22">
        <v>5.0115112513742819</v>
      </c>
      <c r="J35" s="22">
        <v>4.9756006165540709</v>
      </c>
      <c r="K35" s="22">
        <v>4.9394866831922579</v>
      </c>
      <c r="L35" s="22">
        <v>4.9031663679594661</v>
      </c>
      <c r="M35" s="22">
        <v>4.8666364457902418</v>
      </c>
      <c r="N35" s="22">
        <v>4.8298935711442352</v>
      </c>
      <c r="O35" s="22">
        <v>4.79293428988899</v>
      </c>
      <c r="P35" s="22">
        <v>4.7557550426432726</v>
      </c>
      <c r="Q35" s="22">
        <v>4.7183521655961167</v>
      </c>
      <c r="R35" s="22">
        <v>4.6807218888414921</v>
      </c>
      <c r="S35" s="22">
        <v>4.6428603330829024</v>
      </c>
      <c r="T35" s="22">
        <v>4.6047635057132617</v>
      </c>
      <c r="U35" s="22">
        <v>4.5664272964331714</v>
      </c>
      <c r="V35" s="22">
        <v>4.5278474725216746</v>
      </c>
      <c r="W35" s="22">
        <v>4.4890196737793548</v>
      </c>
      <c r="X35" s="22">
        <v>4.4499394071579816</v>
      </c>
      <c r="Y35" s="22">
        <v>4.4106020410763662</v>
      </c>
      <c r="Z35" s="22">
        <v>4.371002799408461</v>
      </c>
      <c r="AA35" s="22">
        <v>4.3311367551268356</v>
      </c>
      <c r="AB35" s="22">
        <v>4.29099882358061</v>
      </c>
      <c r="AC35" s="22">
        <v>4.2505837553836674</v>
      </c>
      <c r="AD35" s="22">
        <v>4.2098861288867662</v>
      </c>
      <c r="AE35" s="22">
        <v>4.1689003422045445</v>
      </c>
      <c r="AF35" s="22">
        <v>4.1276206047655286</v>
      </c>
      <c r="AG35" s="22">
        <v>4.0860409283502719</v>
      </c>
      <c r="AH35" s="22">
        <v>4.0441551175797539</v>
      </c>
      <c r="AI35" s="22">
        <v>4.0019567598132282</v>
      </c>
      <c r="AJ35" s="22">
        <v>3.9594392144101369</v>
      </c>
      <c r="AK35" s="22">
        <v>3.9165956013075074</v>
      </c>
      <c r="AL35" s="22">
        <v>3.8734187888593743</v>
      </c>
      <c r="AM35" s="22">
        <v>3.8299013808800901</v>
      </c>
      <c r="AN35" s="22">
        <v>3.7860357028277485</v>
      </c>
      <c r="AO35" s="22">
        <v>3.7418137870582338</v>
      </c>
      <c r="AP35" s="22">
        <v>3.697227357073638</v>
      </c>
      <c r="AQ35" s="22">
        <v>3.6522678106813702</v>
      </c>
      <c r="AR35" s="22">
        <v>3.6069262019725934</v>
      </c>
      <c r="AS35" s="22">
        <v>3.5611932220189453</v>
      </c>
      <c r="AT35" s="22">
        <v>3.515059178177093</v>
      </c>
      <c r="AU35" s="22">
        <v>3.4685139718791143</v>
      </c>
      <c r="AV35" s="22">
        <v>3.3481956821030496</v>
      </c>
      <c r="AW35" s="22">
        <v>3.3026673930235102</v>
      </c>
      <c r="AX35" s="22">
        <v>3.2567298821396209</v>
      </c>
      <c r="AY35" s="22">
        <v>3.2103725376783054</v>
      </c>
      <c r="AZ35" s="22">
        <v>3.1635842810378576</v>
      </c>
      <c r="BA35" s="22">
        <v>3.1163535378494451</v>
      </c>
      <c r="BB35" s="22">
        <v>3.0686682067293116</v>
      </c>
      <c r="BC35" s="22">
        <v>3.020515625497687</v>
      </c>
      <c r="BD35" s="22">
        <v>2.9718825346152116</v>
      </c>
      <c r="BE35" s="22">
        <v>2.9227550375592513</v>
      </c>
      <c r="BF35" s="22">
        <v>2.8731185578306166</v>
      </c>
      <c r="BG35" s="22">
        <v>2.822957792244718</v>
      </c>
      <c r="BH35" s="22">
        <v>2.7722566601215677</v>
      </c>
      <c r="BI35" s="22">
        <v>2.7209982479424761</v>
      </c>
      <c r="BJ35" s="22">
        <v>2.6691647489902222</v>
      </c>
      <c r="BK35" s="22">
        <v>2.6167373974320496</v>
      </c>
      <c r="BL35" s="22">
        <v>2.5636963962398007</v>
      </c>
      <c r="BM35" s="22">
        <v>2.5100208382691673</v>
      </c>
      <c r="BN35" s="22">
        <v>2.4556886197402448</v>
      </c>
      <c r="BO35" s="22">
        <v>2.4006763452714748</v>
      </c>
      <c r="BP35" s="22">
        <v>2.3449592235227636</v>
      </c>
      <c r="BQ35" s="22">
        <v>2.2885109523981764</v>
      </c>
      <c r="BR35" s="22">
        <v>2.2313035926463045</v>
      </c>
      <c r="BS35" s="22">
        <v>2.1733074285833287</v>
      </c>
      <c r="BT35" s="22">
        <v>2.1144908145509995</v>
      </c>
      <c r="BU35" s="22">
        <v>2.0548200056227595</v>
      </c>
      <c r="BV35" s="22">
        <v>1.9942589710009859</v>
      </c>
      <c r="BW35" s="22">
        <v>1.9327691885303659</v>
      </c>
      <c r="BX35" s="22">
        <v>1.8703094188319123</v>
      </c>
      <c r="BY35" s="22">
        <v>1.8068354578003298</v>
      </c>
      <c r="BZ35" s="22">
        <v>1.7422998667103031</v>
      </c>
      <c r="CA35" s="22">
        <v>1.676651680110125</v>
      </c>
      <c r="CB35" s="22">
        <v>1.6098360933066997</v>
      </c>
      <c r="CC35" s="22">
        <v>1.5417941339957206</v>
      </c>
      <c r="CD35" s="22">
        <v>1.4724623271612549</v>
      </c>
      <c r="CE35" s="22">
        <v>1.4017723699185991</v>
      </c>
      <c r="CF35" s="22">
        <v>1.3296508454467748</v>
      </c>
      <c r="CG35" s="22">
        <v>1.2560190258766308</v>
      </c>
      <c r="CH35" s="22">
        <v>1.1807928487710744</v>
      </c>
      <c r="CI35" s="22">
        <v>1.1038832110269217</v>
      </c>
      <c r="CJ35" s="22">
        <v>1.0251968266782359</v>
      </c>
      <c r="CK35" s="22">
        <v>0.94463807717550674</v>
      </c>
      <c r="CL35" s="22">
        <v>0.86211261455114663</v>
      </c>
      <c r="CM35" s="22">
        <v>0.77753410170406534</v>
      </c>
      <c r="CN35" s="22">
        <v>0.69083668850123225</v>
      </c>
      <c r="CO35" s="22">
        <v>0.6019982785921596</v>
      </c>
      <c r="CP35" s="22">
        <v>0.51108481258196681</v>
      </c>
      <c r="CQ35" s="22">
        <v>0.41833712924212962</v>
      </c>
      <c r="CR35" s="22">
        <v>0.32434781782611294</v>
      </c>
      <c r="CS35" s="22">
        <v>0.23043663810110729</v>
      </c>
      <c r="CT35" s="22">
        <v>0.13948267668975514</v>
      </c>
      <c r="CU35" s="22">
        <v>5.7848045190723972E-2</v>
      </c>
      <c r="CV35" s="22">
        <v>0</v>
      </c>
    </row>
    <row r="36" spans="3:100" x14ac:dyDescent="0.25">
      <c r="F36" s="22">
        <v>6.3635443810968813</v>
      </c>
      <c r="G36" s="22">
        <v>6.3283038567342977</v>
      </c>
      <c r="H36" s="22">
        <v>6.2928179333016034</v>
      </c>
      <c r="I36" s="22">
        <v>6.2571100720836688</v>
      </c>
      <c r="J36" s="22">
        <v>6.2211852486927306</v>
      </c>
      <c r="K36" s="22">
        <v>6.1850443118687499</v>
      </c>
      <c r="L36" s="22">
        <v>6.1486847120612778</v>
      </c>
      <c r="M36" s="22">
        <v>6.1121032163393307</v>
      </c>
      <c r="N36" s="22">
        <v>6.0752962845829819</v>
      </c>
      <c r="O36" s="22">
        <v>6.0382601473923687</v>
      </c>
      <c r="P36" s="22">
        <v>6.0009908631616513</v>
      </c>
      <c r="Q36" s="22">
        <v>5.9634843354956653</v>
      </c>
      <c r="R36" s="22">
        <v>5.9257363258765912</v>
      </c>
      <c r="S36" s="22">
        <v>5.8877424582712585</v>
      </c>
      <c r="T36" s="22">
        <v>5.849498216712349</v>
      </c>
      <c r="U36" s="22">
        <v>5.8109989410946294</v>
      </c>
      <c r="V36" s="22">
        <v>5.7722398216855453</v>
      </c>
      <c r="W36" s="22">
        <v>5.7332158929354042</v>
      </c>
      <c r="X36" s="22">
        <v>5.6939220266431869</v>
      </c>
      <c r="Y36" s="22">
        <v>5.6543529245623017</v>
      </c>
      <c r="Z36" s="22">
        <v>5.6145031104941383</v>
      </c>
      <c r="AA36" s="22">
        <v>5.5743669218544118</v>
      </c>
      <c r="AB36" s="22">
        <v>5.5339385006918382</v>
      </c>
      <c r="AC36" s="22">
        <v>5.493211784127717</v>
      </c>
      <c r="AD36" s="22">
        <v>5.4521804941756686</v>
      </c>
      <c r="AE36" s="22">
        <v>5.4108381268963184</v>
      </c>
      <c r="AF36" s="22">
        <v>5.3691779408356508</v>
      </c>
      <c r="AG36" s="22">
        <v>5.327192944690303</v>
      </c>
      <c r="AH36" s="22">
        <v>5.2848758841362393</v>
      </c>
      <c r="AI36" s="22">
        <v>5.242219227750736</v>
      </c>
      <c r="AJ36" s="22">
        <v>5.1992151519509351</v>
      </c>
      <c r="AK36" s="22">
        <v>5.1558555248635551</v>
      </c>
      <c r="AL36" s="22">
        <v>5.1121318890316578</v>
      </c>
      <c r="AM36" s="22">
        <v>5.0680354428545353</v>
      </c>
      <c r="AN36" s="22">
        <v>5.0235570206458959</v>
      </c>
      <c r="AO36" s="22">
        <v>4.9786870711819171</v>
      </c>
      <c r="AP36" s="22">
        <v>4.9334156345977735</v>
      </c>
      <c r="AQ36" s="22">
        <v>4.8877323174745086</v>
      </c>
      <c r="AR36" s="22">
        <v>4.8416262659399649</v>
      </c>
      <c r="AS36" s="22">
        <v>4.7950861365874422</v>
      </c>
      <c r="AT36" s="22">
        <v>4.7481000649916574</v>
      </c>
      <c r="AU36" s="22">
        <v>4.7006556315751622</v>
      </c>
      <c r="AV36" s="22">
        <v>4.5390769331357683</v>
      </c>
      <c r="AW36" s="22">
        <v>4.4924764422758585</v>
      </c>
      <c r="AX36" s="22">
        <v>4.4454135232542678</v>
      </c>
      <c r="AY36" s="22">
        <v>4.3978747821648847</v>
      </c>
      <c r="AZ36" s="22">
        <v>4.3498461594357254</v>
      </c>
      <c r="BA36" s="22">
        <v>4.3013128824926143</v>
      </c>
      <c r="BB36" s="22">
        <v>4.2522594140021894</v>
      </c>
      <c r="BC36" s="22">
        <v>4.2026693951785266</v>
      </c>
      <c r="BD36" s="22">
        <v>4.1525255835653034</v>
      </c>
      <c r="BE36" s="22">
        <v>4.1018097846204</v>
      </c>
      <c r="BF36" s="22">
        <v>4.0505027763314398</v>
      </c>
      <c r="BG36" s="22">
        <v>3.9985842259735005</v>
      </c>
      <c r="BH36" s="22">
        <v>3.9460325979840896</v>
      </c>
      <c r="BI36" s="22">
        <v>3.8928250517676766</v>
      </c>
      <c r="BJ36" s="22">
        <v>3.8389373280506458</v>
      </c>
      <c r="BK36" s="22">
        <v>3.7843436221771349</v>
      </c>
      <c r="BL36" s="22">
        <v>3.7290164424632746</v>
      </c>
      <c r="BM36" s="22">
        <v>3.6729264513963296</v>
      </c>
      <c r="BN36" s="22">
        <v>3.6160422870677764</v>
      </c>
      <c r="BO36" s="22">
        <v>3.5583303617456052</v>
      </c>
      <c r="BP36" s="22">
        <v>3.4997546339014818</v>
      </c>
      <c r="BQ36" s="22">
        <v>3.4402763492846522</v>
      </c>
      <c r="BR36" s="22">
        <v>3.37985374574277</v>
      </c>
      <c r="BS36" s="22">
        <v>3.3184417153801671</v>
      </c>
      <c r="BT36" s="22">
        <v>3.2559914162614767</v>
      </c>
      <c r="BU36" s="22">
        <v>3.1924498241256707</v>
      </c>
      <c r="BV36" s="22">
        <v>3.1277592123681432</v>
      </c>
      <c r="BW36" s="22">
        <v>3.0618565457298419</v>
      </c>
      <c r="BX36" s="22">
        <v>2.9946727694999171</v>
      </c>
      <c r="BY36" s="22">
        <v>2.9261319713188336</v>
      </c>
      <c r="BZ36" s="22">
        <v>2.8561503864746234</v>
      </c>
      <c r="CA36" s="22">
        <v>2.7846352093721114</v>
      </c>
      <c r="CB36" s="22">
        <v>2.7114831628392082</v>
      </c>
      <c r="CC36" s="22">
        <v>2.6365787619819581</v>
      </c>
      <c r="CD36" s="22">
        <v>2.5597921887246415</v>
      </c>
      <c r="CE36" s="22">
        <v>2.4809766644476445</v>
      </c>
      <c r="CF36" s="22">
        <v>2.3999651673767985</v>
      </c>
      <c r="CG36" s="22">
        <v>2.3165662825009514</v>
      </c>
      <c r="CH36" s="22">
        <v>2.2305588850216433</v>
      </c>
      <c r="CI36" s="22">
        <v>2.141685227538467</v>
      </c>
      <c r="CJ36" s="22">
        <v>2.0496417988992905</v>
      </c>
      <c r="CK36" s="22">
        <v>1.9540670005762963</v>
      </c>
      <c r="CL36" s="22">
        <v>1.8545241562017007</v>
      </c>
      <c r="CM36" s="22">
        <v>1.7504774630551523</v>
      </c>
      <c r="CN36" s="22">
        <v>1.6412568751333851</v>
      </c>
      <c r="CO36" s="22">
        <v>1.5260048756860503</v>
      </c>
      <c r="CP36" s="22">
        <v>1.4035921242338067</v>
      </c>
      <c r="CQ36" s="22">
        <v>1.2724765655344523</v>
      </c>
      <c r="CR36" s="22">
        <v>1.1304535068546715</v>
      </c>
      <c r="CS36" s="22">
        <v>0.97418213073594628</v>
      </c>
      <c r="CT36" s="22">
        <v>0.79822563231197685</v>
      </c>
      <c r="CU36" s="22">
        <v>0.59297465425077822</v>
      </c>
      <c r="CV36" s="22">
        <v>0.33988477469821526</v>
      </c>
    </row>
    <row r="37" spans="3:100" x14ac:dyDescent="0.25">
      <c r="G37" s="22">
        <v>7.7327456940259971</v>
      </c>
      <c r="H37" s="22">
        <v>7.6987075688038145</v>
      </c>
      <c r="I37" s="22">
        <v>7.6642868898388841</v>
      </c>
      <c r="J37" s="22">
        <v>7.6296040563655865</v>
      </c>
      <c r="K37" s="22">
        <v>7.5946877229901535</v>
      </c>
      <c r="L37" s="22">
        <v>7.5595558170575128</v>
      </c>
      <c r="M37" s="22">
        <v>7.5242091115580187</v>
      </c>
      <c r="N37" s="22">
        <v>7.4886456828389223</v>
      </c>
      <c r="O37" s="22">
        <v>7.4528628044012128</v>
      </c>
      <c r="P37" s="22">
        <v>7.4168571779256496</v>
      </c>
      <c r="Q37" s="22">
        <v>7.3806251996148227</v>
      </c>
      <c r="R37" s="22">
        <v>7.3441630145139882</v>
      </c>
      <c r="S37" s="22">
        <v>7.3074665760490669</v>
      </c>
      <c r="T37" s="22">
        <v>7.2705316863272262</v>
      </c>
      <c r="U37" s="22">
        <v>7.233354002589067</v>
      </c>
      <c r="V37" s="22">
        <v>7.1959290385407897</v>
      </c>
      <c r="W37" s="22">
        <v>7.1582521611917036</v>
      </c>
      <c r="X37" s="22">
        <v>7.1203185863975067</v>
      </c>
      <c r="Y37" s="22">
        <v>7.0821233731146398</v>
      </c>
      <c r="Z37" s="22">
        <v>7.0436614166824318</v>
      </c>
      <c r="AA37" s="22">
        <v>7.0049274414909881</v>
      </c>
      <c r="AB37" s="22">
        <v>6.9659159930478864</v>
      </c>
      <c r="AC37" s="22">
        <v>6.9266214294674526</v>
      </c>
      <c r="AD37" s="22">
        <v>6.8870379123842813</v>
      </c>
      <c r="AE37" s="22">
        <v>6.8471593972567897</v>
      </c>
      <c r="AF37" s="22">
        <v>6.8069796230243469</v>
      </c>
      <c r="AG37" s="22">
        <v>6.7664921010757135</v>
      </c>
      <c r="AH37" s="22">
        <v>6.725690103477822</v>
      </c>
      <c r="AI37" s="22">
        <v>6.684566650405583</v>
      </c>
      <c r="AJ37" s="22">
        <v>6.6431144967071258</v>
      </c>
      <c r="AK37" s="22">
        <v>6.6013261175315971</v>
      </c>
      <c r="AL37" s="22">
        <v>6.5591936929389343</v>
      </c>
      <c r="AM37" s="22">
        <v>6.5167090914019541</v>
      </c>
      <c r="AN37" s="22">
        <v>6.4738638521017009</v>
      </c>
      <c r="AO37" s="22">
        <v>6.4306491659065985</v>
      </c>
      <c r="AP37" s="22">
        <v>6.3870558549135996</v>
      </c>
      <c r="AQ37" s="22">
        <v>6.343074350416102</v>
      </c>
      <c r="AR37" s="22">
        <v>6.2986946691483308</v>
      </c>
      <c r="AS37" s="22">
        <v>6.2539063876380974</v>
      </c>
      <c r="AT37" s="22">
        <v>6.208698614480312</v>
      </c>
      <c r="AU37" s="22">
        <v>6.1630599603216654</v>
      </c>
      <c r="AV37" s="22">
        <v>5.9542420901777913</v>
      </c>
      <c r="AW37" s="22">
        <v>5.9092308667021793</v>
      </c>
      <c r="AX37" s="22">
        <v>5.863781003728417</v>
      </c>
      <c r="AY37" s="22">
        <v>5.8178800895299085</v>
      </c>
      <c r="AZ37" s="22">
        <v>5.7715151105630191</v>
      </c>
      <c r="BA37" s="22">
        <v>5.7246724097816459</v>
      </c>
      <c r="BB37" s="22">
        <v>5.6773376411666607</v>
      </c>
      <c r="BC37" s="22">
        <v>5.6294957200417697</v>
      </c>
      <c r="BD37" s="22">
        <v>5.5811307686892278</v>
      </c>
      <c r="BE37" s="22">
        <v>5.5322260567110151</v>
      </c>
      <c r="BF37" s="22">
        <v>5.4827639355015085</v>
      </c>
      <c r="BG37" s="22">
        <v>5.4327257661069401</v>
      </c>
      <c r="BH37" s="22">
        <v>5.3820918396374537</v>
      </c>
      <c r="BI37" s="22">
        <v>5.3308412892722297</v>
      </c>
      <c r="BJ37" s="22">
        <v>5.2789519927473512</v>
      </c>
      <c r="BK37" s="22">
        <v>5.2264004640398758</v>
      </c>
      <c r="BL37" s="22">
        <v>5.1731617327509829</v>
      </c>
      <c r="BM37" s="22">
        <v>5.1192092094399699</v>
      </c>
      <c r="BN37" s="22">
        <v>5.0645145348604235</v>
      </c>
      <c r="BO37" s="22">
        <v>5.0090474106881349</v>
      </c>
      <c r="BP37" s="22">
        <v>4.9527754088931415</v>
      </c>
      <c r="BQ37" s="22">
        <v>4.8956637563771137</v>
      </c>
      <c r="BR37" s="22">
        <v>4.8376750908497774</v>
      </c>
      <c r="BS37" s="22">
        <v>4.7787691831216756</v>
      </c>
      <c r="BT37" s="22">
        <v>4.7189026200107929</v>
      </c>
      <c r="BU37" s="22">
        <v>4.6580284408411474</v>
      </c>
      <c r="BV37" s="22">
        <v>4.5960957189920082</v>
      </c>
      <c r="BW37" s="22">
        <v>4.5330490780444705</v>
      </c>
      <c r="BX37" s="22">
        <v>4.4688281296542511</v>
      </c>
      <c r="BY37" s="22">
        <v>4.4033668171976483</v>
      </c>
      <c r="BZ37" s="22">
        <v>4.3365926452817947</v>
      </c>
      <c r="CA37" s="22">
        <v>4.2684257700895341</v>
      </c>
      <c r="CB37" s="22">
        <v>4.1987779188507943</v>
      </c>
      <c r="CC37" s="22">
        <v>4.1275510979429617</v>
      </c>
      <c r="CD37" s="22">
        <v>4.0546360374569748</v>
      </c>
      <c r="CE37" s="22">
        <v>3.9799103044424418</v>
      </c>
      <c r="CF37" s="22">
        <v>3.9032359959384042</v>
      </c>
      <c r="CG37" s="22">
        <v>3.8244568941459809</v>
      </c>
      <c r="CH37" s="22">
        <v>3.743394926665931</v>
      </c>
      <c r="CI37" s="22">
        <v>3.6598457204084083</v>
      </c>
      <c r="CJ37" s="22">
        <v>3.5735729630414488</v>
      </c>
      <c r="CK37" s="22">
        <v>3.4843011841572853</v>
      </c>
      <c r="CL37" s="22">
        <v>3.3917064344775003</v>
      </c>
      <c r="CM37" s="22">
        <v>3.2954041795863294</v>
      </c>
      <c r="CN37" s="22">
        <v>3.1949335735274933</v>
      </c>
      <c r="CO37" s="22">
        <v>3.089737283092044</v>
      </c>
      <c r="CP37" s="22">
        <v>2.9791366556961569</v>
      </c>
      <c r="CQ37" s="22">
        <v>2.8623046165200141</v>
      </c>
      <c r="CR37" s="22">
        <v>2.7382471165005366</v>
      </c>
      <c r="CS37" s="22">
        <v>2.6058291729158971</v>
      </c>
      <c r="CT37" s="22">
        <v>2.4639543419744996</v>
      </c>
      <c r="CU37" s="22">
        <v>2.3122135282301834</v>
      </c>
      <c r="CV37" s="22">
        <v>2.1529049857882154</v>
      </c>
    </row>
    <row r="38" spans="3:100" x14ac:dyDescent="0.25">
      <c r="H38" s="22">
        <v>9.2504986361002217</v>
      </c>
      <c r="I38" s="22">
        <v>9.2195411802259777</v>
      </c>
      <c r="J38" s="22">
        <v>9.1875707056032461</v>
      </c>
      <c r="K38" s="22">
        <v>9.1551815803062677</v>
      </c>
      <c r="L38" s="22">
        <v>9.1224743982743597</v>
      </c>
      <c r="M38" s="22">
        <v>9.0895545630005028</v>
      </c>
      <c r="N38" s="22">
        <v>9.0564375434208024</v>
      </c>
      <c r="O38" s="22">
        <v>9.0231263284159819</v>
      </c>
      <c r="P38" s="22">
        <v>8.9896215942816475</v>
      </c>
      <c r="Q38" s="22">
        <v>8.9559220023341304</v>
      </c>
      <c r="R38" s="22">
        <v>8.9220255389167757</v>
      </c>
      <c r="S38" s="22">
        <v>8.887929596972878</v>
      </c>
      <c r="T38" s="22">
        <v>8.8536311703479154</v>
      </c>
      <c r="U38" s="22">
        <v>8.8191270693351154</v>
      </c>
      <c r="V38" s="22">
        <v>8.7844139586304504</v>
      </c>
      <c r="W38" s="22">
        <v>8.7494883834789103</v>
      </c>
      <c r="X38" s="22">
        <v>8.7143467750977557</v>
      </c>
      <c r="Y38" s="22">
        <v>8.678985454082321</v>
      </c>
      <c r="Z38" s="22">
        <v>8.6434006305356608</v>
      </c>
      <c r="AA38" s="22">
        <v>8.6075884013971251</v>
      </c>
      <c r="AB38" s="22">
        <v>8.571544747042541</v>
      </c>
      <c r="AC38" s="22">
        <v>8.5352655271670965</v>
      </c>
      <c r="AD38" s="22">
        <v>8.4987464761258469</v>
      </c>
      <c r="AE38" s="22">
        <v>8.4619831979172382</v>
      </c>
      <c r="AF38" s="22">
        <v>8.4249711608007338</v>
      </c>
      <c r="AG38" s="22">
        <v>8.3877056915551531</v>
      </c>
      <c r="AH38" s="22">
        <v>8.3501819693892916</v>
      </c>
      <c r="AI38" s="22">
        <v>8.312395019504601</v>
      </c>
      <c r="AJ38" s="22">
        <v>8.2743397062924835</v>
      </c>
      <c r="AK38" s="22">
        <v>8.2360107261472972</v>
      </c>
      <c r="AL38" s="22">
        <v>8.197402599874188</v>
      </c>
      <c r="AM38" s="22">
        <v>8.1585096646670348</v>
      </c>
      <c r="AN38" s="22">
        <v>8.1193260656288135</v>
      </c>
      <c r="AO38" s="22">
        <v>8.0798457468047751</v>
      </c>
      <c r="AP38" s="22">
        <v>8.0400624416965041</v>
      </c>
      <c r="AQ38" s="22">
        <v>7.9999696632233261</v>
      </c>
      <c r="AR38" s="22">
        <v>7.959560693094403</v>
      </c>
      <c r="AS38" s="22">
        <v>7.9188285705537149</v>
      </c>
      <c r="AT38" s="22">
        <v>7.8777660804566887</v>
      </c>
      <c r="AU38" s="22">
        <v>7.8363657406355953</v>
      </c>
      <c r="AV38" s="22">
        <v>7.575958675981199</v>
      </c>
      <c r="AW38" s="22">
        <v>7.5349545231574737</v>
      </c>
      <c r="AX38" s="22">
        <v>7.4936039145213327</v>
      </c>
      <c r="AY38" s="22">
        <v>7.4518986843069923</v>
      </c>
      <c r="AZ38" s="22">
        <v>7.4098303507185692</v>
      </c>
      <c r="BA38" s="22">
        <v>7.3673900996589579</v>
      </c>
      <c r="BB38" s="22">
        <v>7.3245687675008142</v>
      </c>
      <c r="BC38" s="22">
        <v>7.2813568228513414</v>
      </c>
      <c r="BD38" s="22">
        <v>7.2377443472642966</v>
      </c>
      <c r="BE38" s="22">
        <v>7.1937210148560888</v>
      </c>
      <c r="BF38" s="22">
        <v>7.1492760707886465</v>
      </c>
      <c r="BG38" s="22">
        <v>7.1043983085903388</v>
      </c>
      <c r="BH38" s="22">
        <v>7.0590760462990385</v>
      </c>
      <c r="BI38" s="22">
        <v>7.0132971014292522</v>
      </c>
      <c r="BJ38" s="22">
        <v>6.9670487647904817</v>
      </c>
      <c r="BK38" s="22">
        <v>6.9203177732181587</v>
      </c>
      <c r="BL38" s="22">
        <v>6.8730902813250987</v>
      </c>
      <c r="BM38" s="22">
        <v>6.8253518324445785</v>
      </c>
      <c r="BN38" s="22">
        <v>6.7770873290206968</v>
      </c>
      <c r="BO38" s="22">
        <v>6.7282810028153817</v>
      </c>
      <c r="BP38" s="22">
        <v>6.6789163854538316</v>
      </c>
      <c r="BQ38" s="22">
        <v>6.6289762800343146</v>
      </c>
      <c r="BR38" s="22">
        <v>6.5784427348024845</v>
      </c>
      <c r="BS38" s="22">
        <v>6.527297020259093</v>
      </c>
      <c r="BT38" s="22">
        <v>6.475519611567492</v>
      </c>
      <c r="BU38" s="22">
        <v>6.4230901788009396</v>
      </c>
      <c r="BV38" s="22">
        <v>6.3699875884859232</v>
      </c>
      <c r="BW38" s="22">
        <v>6.3161899211503671</v>
      </c>
      <c r="BX38" s="22">
        <v>6.2616745113085432</v>
      </c>
      <c r="BY38" s="22">
        <v>6.2064180186991846</v>
      </c>
      <c r="BZ38" s="22">
        <v>6.1503965429205376</v>
      </c>
      <c r="CA38" s="22">
        <v>6.0935857982831028</v>
      </c>
      <c r="CB38" s="22">
        <v>6.0359613723386083</v>
      </c>
      <c r="CC38" s="22">
        <v>5.9774991010523433</v>
      </c>
      <c r="CD38" s="22">
        <v>5.9181756073588998</v>
      </c>
      <c r="CE38" s="22">
        <v>5.8579690700193057</v>
      </c>
      <c r="CF38" s="22">
        <v>5.796860319635857</v>
      </c>
      <c r="CG38" s="22">
        <v>5.7348344037043084</v>
      </c>
      <c r="CH38" s="22">
        <v>5.6718828312762319</v>
      </c>
      <c r="CI38" s="22">
        <v>5.6080068142198716</v>
      </c>
      <c r="CJ38" s="22">
        <v>5.5432219895486226</v>
      </c>
      <c r="CK38" s="22">
        <v>5.4775653751268596</v>
      </c>
      <c r="CL38" s="22">
        <v>5.4111057461123551</v>
      </c>
      <c r="CM38" s="22">
        <v>5.3439593361104398</v>
      </c>
      <c r="CN38" s="22">
        <v>5.276313960273284</v>
      </c>
      <c r="CO38" s="22">
        <v>5.20846665423083</v>
      </c>
      <c r="CP38" s="22">
        <v>5.1408832443823869</v>
      </c>
      <c r="CQ38" s="22">
        <v>5.0742936502433533</v>
      </c>
      <c r="CR38" s="22">
        <v>5.0098448755094989</v>
      </c>
      <c r="CS38" s="22">
        <v>4.949343910084731</v>
      </c>
      <c r="CT38" s="22">
        <v>4.8956279857539062</v>
      </c>
      <c r="CU38" s="22">
        <v>4.853068714285925</v>
      </c>
      <c r="CV38" s="22">
        <v>4.8280385185576327</v>
      </c>
    </row>
    <row r="39" spans="3:100" x14ac:dyDescent="0.25">
      <c r="I39" s="22">
        <v>10.897224983071272</v>
      </c>
      <c r="J39" s="22">
        <v>10.873789502834928</v>
      </c>
      <c r="K39" s="22">
        <v>10.846265466910973</v>
      </c>
      <c r="L39" s="22">
        <v>10.817733925427552</v>
      </c>
      <c r="M39" s="22">
        <v>10.788372379092555</v>
      </c>
      <c r="N39" s="22">
        <v>10.758741386019198</v>
      </c>
      <c r="O39" s="22">
        <v>10.728922741738435</v>
      </c>
      <c r="P39" s="22">
        <v>10.698934520532772</v>
      </c>
      <c r="Q39" s="22">
        <v>10.668789393316818</v>
      </c>
      <c r="R39" s="22">
        <v>10.638491076225867</v>
      </c>
      <c r="S39" s="22">
        <v>10.608041827249556</v>
      </c>
      <c r="T39" s="22">
        <v>10.577442125926186</v>
      </c>
      <c r="U39" s="22">
        <v>10.546690964627318</v>
      </c>
      <c r="V39" s="22">
        <v>10.515786965067834</v>
      </c>
      <c r="W39" s="22">
        <v>10.484728501944645</v>
      </c>
      <c r="X39" s="22">
        <v>10.453513839590896</v>
      </c>
      <c r="Y39" s="22">
        <v>10.422141156009769</v>
      </c>
      <c r="Z39" s="22">
        <v>10.39060856881734</v>
      </c>
      <c r="AA39" s="22">
        <v>10.358914153494727</v>
      </c>
      <c r="AB39" s="22">
        <v>10.327055948612788</v>
      </c>
      <c r="AC39" s="22">
        <v>10.295031960137875</v>
      </c>
      <c r="AD39" s="22">
        <v>10.262840164201396</v>
      </c>
      <c r="AE39" s="22">
        <v>10.230478508663602</v>
      </c>
      <c r="AF39" s="22">
        <v>10.197944914633682</v>
      </c>
      <c r="AG39" s="22">
        <v>10.165237277906778</v>
      </c>
      <c r="AH39" s="22">
        <v>10.132353470361195</v>
      </c>
      <c r="AI39" s="22">
        <v>10.099291341440718</v>
      </c>
      <c r="AJ39" s="22">
        <v>10.066048719853084</v>
      </c>
      <c r="AK39" s="22">
        <v>10.032623415524082</v>
      </c>
      <c r="AL39" s="22">
        <v>9.9990132218578065</v>
      </c>
      <c r="AM39" s="22">
        <v>9.9652159183609488</v>
      </c>
      <c r="AN39" s="22">
        <v>9.9312292736901888</v>
      </c>
      <c r="AO39" s="22">
        <v>9.8970510491810142</v>
      </c>
      <c r="AP39" s="22">
        <v>9.8626790029251588</v>
      </c>
      <c r="AQ39" s="22">
        <v>9.8281108944716262</v>
      </c>
      <c r="AR39" s="22">
        <v>9.7933444902385283</v>
      </c>
      <c r="AS39" s="22">
        <v>9.7583775697346784</v>
      </c>
      <c r="AT39" s="22">
        <v>9.7232079327044865</v>
      </c>
      <c r="AU39" s="22">
        <v>9.6878334073272399</v>
      </c>
      <c r="AV39" s="22">
        <v>9.373516557163688</v>
      </c>
      <c r="AW39" s="22">
        <v>9.3383211122845644</v>
      </c>
      <c r="AX39" s="22">
        <v>9.3029136057698736</v>
      </c>
      <c r="AY39" s="22">
        <v>9.2672917042671497</v>
      </c>
      <c r="AZ39" s="22">
        <v>9.2314531224422822</v>
      </c>
      <c r="BA39" s="22">
        <v>9.1953956364025</v>
      </c>
      <c r="BB39" s="22">
        <v>9.1591170991588271</v>
      </c>
      <c r="BC39" s="22">
        <v>9.1226154584401176</v>
      </c>
      <c r="BD39" s="22">
        <v>9.0858887772238806</v>
      </c>
      <c r="BE39" s="22">
        <v>9.0489352574104505</v>
      </c>
      <c r="BF39" s="22">
        <v>9.0117532671410743</v>
      </c>
      <c r="BG39" s="22">
        <v>8.9743413723477623</v>
      </c>
      <c r="BH39" s="22">
        <v>8.936698373228241</v>
      </c>
      <c r="BI39" s="22">
        <v>8.8988233464644857</v>
      </c>
      <c r="BJ39" s="22">
        <v>8.8607156941546226</v>
      </c>
      <c r="BK39" s="22">
        <v>8.8223752006104323</v>
      </c>
      <c r="BL39" s="22">
        <v>8.7838020983933713</v>
      </c>
      <c r="BM39" s="22">
        <v>8.744997145229279</v>
      </c>
      <c r="BN39" s="22">
        <v>8.7059617137695291</v>
      </c>
      <c r="BO39" s="22">
        <v>8.6666978965648074</v>
      </c>
      <c r="BP39" s="22">
        <v>8.627208629108253</v>
      </c>
      <c r="BQ39" s="22">
        <v>8.5874978344091648</v>
      </c>
      <c r="BR39" s="22">
        <v>8.5475705933057764</v>
      </c>
      <c r="BS39" s="22">
        <v>8.5074333456547464</v>
      </c>
      <c r="BT39" s="22">
        <v>8.4670941286939883</v>
      </c>
      <c r="BU39" s="22">
        <v>8.4265628603275839</v>
      </c>
      <c r="BV39" s="22">
        <v>8.3858516769092972</v>
      </c>
      <c r="BW39" s="22">
        <v>8.344975337410137</v>
      </c>
      <c r="BX39" s="22">
        <v>8.3039517087871069</v>
      </c>
      <c r="BY39" s="22">
        <v>8.2628023511046376</v>
      </c>
      <c r="BZ39" s="22">
        <v>8.2215532257402124</v>
      </c>
      <c r="CA39" s="22">
        <v>8.1802355561370703</v>
      </c>
      <c r="CB39" s="22">
        <v>8.1388868784630866</v>
      </c>
      <c r="CC39" s="22">
        <v>8.0975523297115686</v>
      </c>
      <c r="CD39" s="22">
        <v>8.0562862339001953</v>
      </c>
      <c r="CE39" s="22">
        <v>8.0151540638928402</v>
      </c>
      <c r="CF39" s="22">
        <v>7.9742348779122203</v>
      </c>
      <c r="CG39" s="22">
        <v>7.9336243569452245</v>
      </c>
      <c r="CH39" s="22">
        <v>7.8934386025526546</v>
      </c>
      <c r="CI39" s="22">
        <v>7.8538188935079196</v>
      </c>
      <c r="CJ39" s="22">
        <v>7.8149376406674129</v>
      </c>
      <c r="CK39" s="22">
        <v>7.7770058120271051</v>
      </c>
      <c r="CL39" s="22">
        <v>7.7402820981323339</v>
      </c>
      <c r="CM39" s="22">
        <v>7.7050839927469434</v>
      </c>
      <c r="CN39" s="22">
        <v>7.6718006458499719</v>
      </c>
      <c r="CO39" s="22">
        <v>7.640906532157401</v>
      </c>
      <c r="CP39" s="22">
        <v>7.6129731046570832</v>
      </c>
      <c r="CQ39" s="22">
        <v>7.5886715433152014</v>
      </c>
      <c r="CR39" s="22">
        <v>7.5687513212804491</v>
      </c>
      <c r="CS39" s="22">
        <v>7.5539628514495893</v>
      </c>
      <c r="CT39" s="22">
        <v>7.5448625621926242</v>
      </c>
      <c r="CU39" s="22">
        <v>7.5413919987033129</v>
      </c>
      <c r="CV39" s="22">
        <v>7.5420767881857653</v>
      </c>
    </row>
    <row r="40" spans="3:100" x14ac:dyDescent="0.25">
      <c r="J40" s="22">
        <v>12.633703939836023</v>
      </c>
      <c r="K40" s="22">
        <v>12.634851132235507</v>
      </c>
      <c r="L40" s="22">
        <v>12.616226737329262</v>
      </c>
      <c r="M40" s="22">
        <v>12.595137196925359</v>
      </c>
      <c r="N40" s="22">
        <v>12.570415249374737</v>
      </c>
      <c r="O40" s="22">
        <v>12.545031236193802</v>
      </c>
      <c r="P40" s="22">
        <v>12.519394311753818</v>
      </c>
      <c r="Q40" s="22">
        <v>12.493562330766398</v>
      </c>
      <c r="R40" s="22">
        <v>12.467597117547198</v>
      </c>
      <c r="S40" s="22">
        <v>12.441514162251211</v>
      </c>
      <c r="T40" s="22">
        <v>12.415327735324974</v>
      </c>
      <c r="U40" s="22">
        <v>12.389047658167049</v>
      </c>
      <c r="V40" s="22">
        <v>12.362676605551052</v>
      </c>
      <c r="W40" s="22">
        <v>12.336216156377743</v>
      </c>
      <c r="X40" s="22">
        <v>12.309666979729624</v>
      </c>
      <c r="Y40" s="22">
        <v>12.28302954038918</v>
      </c>
      <c r="Z40" s="22">
        <v>12.256304138323983</v>
      </c>
      <c r="AA40" s="22">
        <v>12.229490992193378</v>
      </c>
      <c r="AB40" s="22">
        <v>12.20259032938425</v>
      </c>
      <c r="AC40" s="22">
        <v>12.175602403794263</v>
      </c>
      <c r="AD40" s="22">
        <v>12.148527514749437</v>
      </c>
      <c r="AE40" s="22">
        <v>12.121366021960947</v>
      </c>
      <c r="AF40" s="22">
        <v>12.094118353919976</v>
      </c>
      <c r="AG40" s="22">
        <v>12.06678501670522</v>
      </c>
      <c r="AH40" s="22">
        <v>12.039366602790723</v>
      </c>
      <c r="AI40" s="22">
        <v>12.011863799621473</v>
      </c>
      <c r="AJ40" s="22">
        <v>11.984277398191646</v>
      </c>
      <c r="AK40" s="22">
        <v>11.956608302260737</v>
      </c>
      <c r="AL40" s="22">
        <v>11.928857538260567</v>
      </c>
      <c r="AM40" s="22">
        <v>11.901026265987896</v>
      </c>
      <c r="AN40" s="22">
        <v>11.873115790217732</v>
      </c>
      <c r="AO40" s="22">
        <v>11.845127573382594</v>
      </c>
      <c r="AP40" s="22">
        <v>11.817063249432477</v>
      </c>
      <c r="AQ40" s="22">
        <v>11.788924639002312</v>
      </c>
      <c r="AR40" s="22">
        <v>11.760713766027211</v>
      </c>
      <c r="AS40" s="22">
        <v>11.732432875962688</v>
      </c>
      <c r="AT40" s="22">
        <v>11.704084455786587</v>
      </c>
      <c r="AU40" s="22">
        <v>11.675671255980387</v>
      </c>
      <c r="AV40" s="22">
        <v>11.307224274919523</v>
      </c>
      <c r="AW40" s="22">
        <v>11.278810354866897</v>
      </c>
      <c r="AX40" s="22">
        <v>11.250327014303082</v>
      </c>
      <c r="AY40" s="22">
        <v>11.221777295947648</v>
      </c>
      <c r="AZ40" s="22">
        <v>11.19316457108066</v>
      </c>
      <c r="BA40" s="22">
        <v>11.164492571033239</v>
      </c>
      <c r="BB40" s="22">
        <v>11.135765422014813</v>
      </c>
      <c r="BC40" s="22">
        <v>11.10698768367584</v>
      </c>
      <c r="BD40" s="22">
        <v>11.078164391858516</v>
      </c>
      <c r="BE40" s="22">
        <v>11.049301106048837</v>
      </c>
      <c r="BF40" s="22">
        <v>11.02040396211366</v>
      </c>
      <c r="BG40" s="22">
        <v>10.991479730987114</v>
      </c>
      <c r="BH40" s="22">
        <v>10.962535884063097</v>
      </c>
      <c r="BI40" s="22">
        <v>10.933580666157226</v>
      </c>
      <c r="BJ40" s="22">
        <v>10.904623177024707</v>
      </c>
      <c r="BK40" s="22">
        <v>10.875673462560737</v>
      </c>
      <c r="BL40" s="22">
        <v>10.846742616973712</v>
      </c>
      <c r="BM40" s="22">
        <v>10.817842897406825</v>
      </c>
      <c r="BN40" s="22">
        <v>10.788987852699162</v>
      </c>
      <c r="BO40" s="22">
        <v>10.76019246822168</v>
      </c>
      <c r="BP40" s="22">
        <v>10.731473329004709</v>
      </c>
      <c r="BQ40" s="22">
        <v>10.702848803691289</v>
      </c>
      <c r="BR40" s="22">
        <v>10.67433925220999</v>
      </c>
      <c r="BS40" s="22">
        <v>10.64596726046244</v>
      </c>
      <c r="BT40" s="22">
        <v>10.617757905762618</v>
      </c>
      <c r="BU40" s="22">
        <v>10.589739057241388</v>
      </c>
      <c r="BV40" s="22">
        <v>10.561941715927622</v>
      </c>
      <c r="BW40" s="22">
        <v>10.534400399708309</v>
      </c>
      <c r="BX40" s="22">
        <v>10.507153578808921</v>
      </c>
      <c r="BY40" s="22">
        <v>10.480244167742075</v>
      </c>
      <c r="BZ40" s="22">
        <v>10.453720079716115</v>
      </c>
      <c r="CA40" s="22">
        <v>10.427634849065441</v>
      </c>
      <c r="CB40" s="22">
        <v>10.402048326022046</v>
      </c>
      <c r="CC40" s="22">
        <v>10.377027445557635</v>
      </c>
      <c r="CD40" s="22">
        <v>10.352647067237649</v>
      </c>
      <c r="CE40" s="22">
        <v>10.328990874707955</v>
      </c>
      <c r="CF40" s="22">
        <v>10.306152309483878</v>
      </c>
      <c r="CG40" s="22">
        <v>10.284235490850238</v>
      </c>
      <c r="CH40" s="22">
        <v>10.263356036816397</v>
      </c>
      <c r="CI40" s="22">
        <v>10.243641642365569</v>
      </c>
      <c r="CJ40" s="22">
        <v>10.22523217884372</v>
      </c>
      <c r="CK40" s="22">
        <v>10.208278934855805</v>
      </c>
      <c r="CL40" s="22">
        <v>10.19294240025908</v>
      </c>
      <c r="CM40" s="22">
        <v>10.179387670461686</v>
      </c>
      <c r="CN40" s="22">
        <v>10.167776089422604</v>
      </c>
      <c r="CO40" s="22">
        <v>10.158251155696608</v>
      </c>
      <c r="CP40" s="22">
        <v>10.150916087913451</v>
      </c>
      <c r="CQ40" s="22">
        <v>10.145800172601897</v>
      </c>
      <c r="CR40" s="22">
        <v>10.142812197988304</v>
      </c>
      <c r="CS40" s="22">
        <v>10.141684615041445</v>
      </c>
      <c r="CT40" s="22">
        <v>10.141927509067418</v>
      </c>
      <c r="CU40" s="22">
        <v>10.142848437894779</v>
      </c>
      <c r="CV40" s="22">
        <v>10.143769450346273</v>
      </c>
    </row>
    <row r="41" spans="3:100" x14ac:dyDescent="0.25">
      <c r="L41" s="22">
        <v>14.456429811164842</v>
      </c>
      <c r="M41" s="22">
        <v>14.45774251458753</v>
      </c>
      <c r="N41" s="22">
        <v>14.459055337209099</v>
      </c>
      <c r="O41" s="22">
        <v>14.441798795687864</v>
      </c>
      <c r="P41" s="22">
        <v>14.421805346714697</v>
      </c>
      <c r="Q41" s="22">
        <v>14.401240241870585</v>
      </c>
      <c r="R41" s="22">
        <v>14.380197717976246</v>
      </c>
      <c r="S41" s="22">
        <v>14.358978193107493</v>
      </c>
      <c r="T41" s="22">
        <v>14.337616331734747</v>
      </c>
      <c r="U41" s="22">
        <v>14.316158481535949</v>
      </c>
      <c r="V41" s="22">
        <v>14.294653193817151</v>
      </c>
      <c r="W41" s="22">
        <v>14.273111558663778</v>
      </c>
      <c r="X41" s="22">
        <v>14.251541896336622</v>
      </c>
      <c r="Y41" s="22">
        <v>14.229948064345754</v>
      </c>
      <c r="Z41" s="22">
        <v>14.208333423199273</v>
      </c>
      <c r="AA41" s="22">
        <v>14.186700723860664</v>
      </c>
      <c r="AB41" s="22">
        <v>14.165052240771374</v>
      </c>
      <c r="AC41" s="22">
        <v>14.14339022708093</v>
      </c>
      <c r="AD41" s="22">
        <v>14.121716942389369</v>
      </c>
      <c r="AE41" s="22">
        <v>14.100034703822489</v>
      </c>
      <c r="AF41" s="22">
        <v>14.07834593957574</v>
      </c>
      <c r="AG41" s="22">
        <v>14.056653202366762</v>
      </c>
      <c r="AH41" s="22">
        <v>14.034959185350864</v>
      </c>
      <c r="AI41" s="22">
        <v>14.013266738864395</v>
      </c>
      <c r="AJ41" s="22">
        <v>13.991578885587581</v>
      </c>
      <c r="AK41" s="22">
        <v>13.969898832978929</v>
      </c>
      <c r="AL41" s="22">
        <v>13.948229986458463</v>
      </c>
      <c r="AM41" s="22">
        <v>13.926575963224805</v>
      </c>
      <c r="AN41" s="22">
        <v>13.904940606676137</v>
      </c>
      <c r="AO41" s="22">
        <v>13.883328001605099</v>
      </c>
      <c r="AP41" s="22">
        <v>13.861742490506714</v>
      </c>
      <c r="AQ41" s="22">
        <v>13.840188691104526</v>
      </c>
      <c r="AR41" s="22">
        <v>13.818671515208376</v>
      </c>
      <c r="AS41" s="22">
        <v>13.79719618901604</v>
      </c>
      <c r="AT41" s="22">
        <v>13.775768274982649</v>
      </c>
      <c r="AU41" s="22">
        <v>13.754393695394768</v>
      </c>
      <c r="AV41" s="22">
        <v>13.333440943965524</v>
      </c>
      <c r="AW41" s="22">
        <v>13.311936667568439</v>
      </c>
      <c r="AX41" s="22">
        <v>13.290483555763075</v>
      </c>
      <c r="AY41" s="22">
        <v>13.269088043465302</v>
      </c>
      <c r="AZ41" s="22">
        <v>13.247756995767245</v>
      </c>
      <c r="BA41" s="22">
        <v>13.226497739231007</v>
      </c>
      <c r="BB41" s="22">
        <v>13.205318095693572</v>
      </c>
      <c r="BC41" s="22">
        <v>13.18422641879167</v>
      </c>
      <c r="BD41" s="22">
        <v>13.163231633429188</v>
      </c>
      <c r="BE41" s="22">
        <v>13.142343278425381</v>
      </c>
      <c r="BF41" s="22">
        <v>13.121571552594954</v>
      </c>
      <c r="BG41" s="22">
        <v>13.100927364524136</v>
      </c>
      <c r="BH41" s="22">
        <v>13.080422386316908</v>
      </c>
      <c r="BI41" s="22">
        <v>13.06006911159208</v>
      </c>
      <c r="BJ41" s="22">
        <v>13.03988091801283</v>
      </c>
      <c r="BK41" s="22">
        <v>13.01987213462337</v>
      </c>
      <c r="BL41" s="22">
        <v>13.000058114249443</v>
      </c>
      <c r="BM41" s="22">
        <v>12.980455311185221</v>
      </c>
      <c r="BN41" s="22">
        <v>12.961081364333859</v>
      </c>
      <c r="BO41" s="22">
        <v>12.941955185883932</v>
      </c>
      <c r="BP41" s="22">
        <v>12.923097055478539</v>
      </c>
      <c r="BQ41" s="22">
        <v>12.904528719654556</v>
      </c>
      <c r="BR41" s="22">
        <v>12.886273496076045</v>
      </c>
      <c r="BS41" s="22">
        <v>12.868356381734579</v>
      </c>
      <c r="BT41" s="22">
        <v>12.850804163804714</v>
      </c>
      <c r="BU41" s="22">
        <v>12.833645531181604</v>
      </c>
      <c r="BV41" s="22">
        <v>12.816911183827939</v>
      </c>
      <c r="BW41" s="22">
        <v>12.800633935841427</v>
      </c>
      <c r="BX41" s="22">
        <v>12.784848806513521</v>
      </c>
      <c r="BY41" s="22">
        <v>12.769593091446502</v>
      </c>
      <c r="BZ41" s="22">
        <v>12.754906402845409</v>
      </c>
      <c r="CA41" s="22">
        <v>12.740830664163385</v>
      </c>
      <c r="CB41" s="22">
        <v>12.727410039048561</v>
      </c>
      <c r="CC41" s="22">
        <v>12.714690767632767</v>
      </c>
      <c r="CD41" s="22">
        <v>12.702720874154105</v>
      </c>
      <c r="CE41" s="22">
        <v>12.691549698192269</v>
      </c>
      <c r="CF41" s="22">
        <v>12.68122718689432</v>
      </c>
      <c r="CG41" s="22">
        <v>12.671802867116824</v>
      </c>
      <c r="CH41" s="22">
        <v>12.663324394537643</v>
      </c>
      <c r="CI41" s="22">
        <v>12.655835552797647</v>
      </c>
      <c r="CJ41" s="22">
        <v>12.649373553376801</v>
      </c>
      <c r="CK41" s="22">
        <v>12.643965474755159</v>
      </c>
      <c r="CL41" s="22">
        <v>12.639623694930373</v>
      </c>
      <c r="CM41" s="22">
        <v>12.636340247643654</v>
      </c>
      <c r="CN41" s="22">
        <v>12.63408022831549</v>
      </c>
      <c r="CO41" s="22">
        <v>12.63277478664099</v>
      </c>
      <c r="CP41" s="22">
        <v>12.632315007885072</v>
      </c>
      <c r="CQ41" s="22">
        <v>12.632549257717955</v>
      </c>
      <c r="CR41" s="22">
        <v>12.633288375144449</v>
      </c>
      <c r="CS41" s="22">
        <v>12.634324909501771</v>
      </c>
      <c r="CT41" s="22">
        <v>12.635472158287859</v>
      </c>
      <c r="CU41" s="22">
        <v>12.636619511248869</v>
      </c>
      <c r="CV41" s="22">
        <v>12.637766968394256</v>
      </c>
    </row>
    <row r="42" spans="3:100" x14ac:dyDescent="0.25">
      <c r="O42" s="22">
        <v>16.369145703518466</v>
      </c>
      <c r="P42" s="22">
        <v>16.370632089429247</v>
      </c>
      <c r="Q42" s="22">
        <v>16.358463621528063</v>
      </c>
      <c r="R42" s="22">
        <v>16.344933854293576</v>
      </c>
      <c r="S42" s="22">
        <v>16.329405086683639</v>
      </c>
      <c r="T42" s="22">
        <v>16.313492980298545</v>
      </c>
      <c r="U42" s="22">
        <v>16.297210277442108</v>
      </c>
      <c r="V42" s="22">
        <v>16.280636585465423</v>
      </c>
      <c r="W42" s="22">
        <v>16.264012220331693</v>
      </c>
      <c r="X42" s="22">
        <v>16.247369115240701</v>
      </c>
      <c r="Y42" s="22">
        <v>16.230740602831194</v>
      </c>
      <c r="Z42" s="22">
        <v>16.214135899378736</v>
      </c>
      <c r="AA42" s="22">
        <v>16.197563766160158</v>
      </c>
      <c r="AB42" s="22">
        <v>16.181031240941852</v>
      </c>
      <c r="AC42" s="22">
        <v>16.164542619669902</v>
      </c>
      <c r="AD42" s="22">
        <v>16.148102004380107</v>
      </c>
      <c r="AE42" s="22">
        <v>16.131713251831723</v>
      </c>
      <c r="AF42" s="22">
        <v>16.115380055856825</v>
      </c>
      <c r="AG42" s="22">
        <v>16.099106200827325</v>
      </c>
      <c r="AH42" s="22">
        <v>16.082895569922535</v>
      </c>
      <c r="AI42" s="22">
        <v>16.066752164845965</v>
      </c>
      <c r="AJ42" s="22">
        <v>16.050680136595076</v>
      </c>
      <c r="AK42" s="22">
        <v>16.034683817018376</v>
      </c>
      <c r="AL42" s="22">
        <v>16.018767730746312</v>
      </c>
      <c r="AM42" s="22">
        <v>16.002936608286749</v>
      </c>
      <c r="AN42" s="22">
        <v>15.987195399596835</v>
      </c>
      <c r="AO42" s="22">
        <v>15.971549287150586</v>
      </c>
      <c r="AP42" s="22">
        <v>15.956003698062474</v>
      </c>
      <c r="AQ42" s="22">
        <v>15.940564316726046</v>
      </c>
      <c r="AR42" s="22">
        <v>15.925237098007946</v>
      </c>
      <c r="AS42" s="22">
        <v>15.910028281072112</v>
      </c>
      <c r="AT42" s="22">
        <v>15.894944403839185</v>
      </c>
      <c r="AU42" s="22">
        <v>15.879992318085099</v>
      </c>
      <c r="AV42" s="22">
        <v>15.409509864390007</v>
      </c>
      <c r="AW42" s="22">
        <v>15.394352574838532</v>
      </c>
      <c r="AX42" s="22">
        <v>15.379326619793693</v>
      </c>
      <c r="AY42" s="22">
        <v>15.364439332143641</v>
      </c>
      <c r="AZ42" s="22">
        <v>15.349698402341183</v>
      </c>
      <c r="BA42" s="22">
        <v>15.335111895910465</v>
      </c>
      <c r="BB42" s="22">
        <v>15.320688271535278</v>
      </c>
      <c r="BC42" s="22">
        <v>15.30643639966976</v>
      </c>
      <c r="BD42" s="22">
        <v>15.29236558158917</v>
      </c>
      <c r="BE42" s="22">
        <v>15.278485568768597</v>
      </c>
      <c r="BF42" s="22">
        <v>15.264806582441558</v>
      </c>
      <c r="BG42" s="22">
        <v>15.251339333145454</v>
      </c>
      <c r="BH42" s="22">
        <v>15.238095040005826</v>
      </c>
      <c r="BI42" s="22">
        <v>15.225085449443268</v>
      </c>
      <c r="BJ42" s="22">
        <v>15.212322852903753</v>
      </c>
      <c r="BK42" s="22">
        <v>15.199820103110644</v>
      </c>
      <c r="BL42" s="22">
        <v>15.187590628211726</v>
      </c>
      <c r="BM42" s="22">
        <v>15.175648443041217</v>
      </c>
      <c r="BN42" s="22">
        <v>15.164008156529857</v>
      </c>
      <c r="BO42" s="22">
        <v>15.152684974067926</v>
      </c>
      <c r="BP42" s="22">
        <v>15.141694693348283</v>
      </c>
      <c r="BQ42" s="22">
        <v>15.131053691878989</v>
      </c>
      <c r="BR42" s="22">
        <v>15.12077890394611</v>
      </c>
      <c r="BS42" s="22">
        <v>15.110887784313347</v>
      </c>
      <c r="BT42" s="22">
        <v>15.101398255351082</v>
      </c>
      <c r="BU42" s="22">
        <v>15.092328633577276</v>
      </c>
      <c r="BV42" s="22">
        <v>15.083697530749967</v>
      </c>
      <c r="BW42" s="22">
        <v>15.075523723661371</v>
      </c>
      <c r="BX42" s="22">
        <v>15.067825985637766</v>
      </c>
      <c r="BY42" s="22">
        <v>15.060622871449043</v>
      </c>
      <c r="BZ42" s="22">
        <v>15.0539324458999</v>
      </c>
      <c r="CA42" s="22">
        <v>15.04777194486921</v>
      </c>
      <c r="CB42" s="22">
        <v>15.04215735610487</v>
      </c>
      <c r="CC42" s="22">
        <v>15.037102905884963</v>
      </c>
      <c r="CD42" s="22">
        <v>15.032620437095298</v>
      </c>
      <c r="CE42" s="22">
        <v>15.028718664960572</v>
      </c>
      <c r="CF42" s="22">
        <v>15.025402299574843</v>
      </c>
      <c r="CG42" s="22">
        <v>15.022671031007093</v>
      </c>
      <c r="CH42" s="22">
        <v>15.020518385341722</v>
      </c>
      <c r="CI42" s="22">
        <v>15.018930481741041</v>
      </c>
      <c r="CJ42" s="22">
        <v>15.017884755770211</v>
      </c>
      <c r="CK42" s="22">
        <v>15.017348768009272</v>
      </c>
      <c r="CL42" s="22">
        <v>15.017279294505272</v>
      </c>
      <c r="CM42" s="22">
        <v>15.017621999023635</v>
      </c>
      <c r="CN42" s="22">
        <v>15.018312108833582</v>
      </c>
      <c r="CO42" s="22">
        <v>15.019276625344306</v>
      </c>
      <c r="CP42" s="22">
        <v>15.020438621036797</v>
      </c>
      <c r="CQ42" s="22">
        <v>15.021723946849489</v>
      </c>
      <c r="CR42" s="22">
        <v>15.023069933194567</v>
      </c>
      <c r="CS42" s="22">
        <v>15.024434089876278</v>
      </c>
      <c r="CT42" s="22">
        <v>15.025798370429039</v>
      </c>
      <c r="CU42" s="22">
        <v>15.027162774864099</v>
      </c>
      <c r="CV42" s="22">
        <v>15.028527303192705</v>
      </c>
    </row>
    <row r="43" spans="3:100" x14ac:dyDescent="0.25">
      <c r="Q43" s="22">
        <v>18.314891454623375</v>
      </c>
      <c r="R43" s="22">
        <v>18.316554522269584</v>
      </c>
      <c r="S43" s="22">
        <v>18.318217740929192</v>
      </c>
      <c r="T43" s="22">
        <v>18.309773609936563</v>
      </c>
      <c r="U43" s="22">
        <v>18.300620577211554</v>
      </c>
      <c r="V43" s="22">
        <v>18.290475199126533</v>
      </c>
      <c r="W43" s="22">
        <v>18.27885341756776</v>
      </c>
      <c r="X43" s="22">
        <v>18.267034166099418</v>
      </c>
      <c r="Y43" s="22">
        <v>18.255070827800111</v>
      </c>
      <c r="Z43" s="22">
        <v>18.243119932336299</v>
      </c>
      <c r="AA43" s="22">
        <v>18.231198680513707</v>
      </c>
      <c r="AB43" s="22">
        <v>18.219328806446985</v>
      </c>
      <c r="AC43" s="22">
        <v>18.207532676108869</v>
      </c>
      <c r="AD43" s="22">
        <v>18.195817299207825</v>
      </c>
      <c r="AE43" s="22">
        <v>18.184189451578636</v>
      </c>
      <c r="AF43" s="22">
        <v>18.172654999544935</v>
      </c>
      <c r="AG43" s="22">
        <v>18.16121837820392</v>
      </c>
      <c r="AH43" s="22">
        <v>18.149884033029608</v>
      </c>
      <c r="AI43" s="22">
        <v>18.13865637518153</v>
      </c>
      <c r="AJ43" s="22">
        <v>18.127539762310132</v>
      </c>
      <c r="AK43" s="22">
        <v>18.116538543835478</v>
      </c>
      <c r="AL43" s="22">
        <v>18.105657186997693</v>
      </c>
      <c r="AM43" s="22">
        <v>18.094900282425304</v>
      </c>
      <c r="AN43" s="22">
        <v>18.084272554100778</v>
      </c>
      <c r="AO43" s="22">
        <v>18.073778873359448</v>
      </c>
      <c r="AP43" s="22">
        <v>18.063424272554357</v>
      </c>
      <c r="AQ43" s="22">
        <v>18.053213949990614</v>
      </c>
      <c r="AR43" s="22">
        <v>18.043153274433671</v>
      </c>
      <c r="AS43" s="22">
        <v>18.033247789029364</v>
      </c>
      <c r="AT43" s="22">
        <v>18.023503214935186</v>
      </c>
      <c r="AU43" s="22">
        <v>18.013925454547035</v>
      </c>
      <c r="AV43" s="22">
        <v>17.497648796226773</v>
      </c>
      <c r="AW43" s="22">
        <v>17.487837108621029</v>
      </c>
      <c r="AX43" s="22">
        <v>17.478192594372508</v>
      </c>
      <c r="AY43" s="22">
        <v>17.468721449430422</v>
      </c>
      <c r="AZ43" s="22">
        <v>17.459430058683441</v>
      </c>
      <c r="BA43" s="22">
        <v>17.450324996609019</v>
      </c>
      <c r="BB43" s="22">
        <v>17.441413026888668</v>
      </c>
      <c r="BC43" s="22">
        <v>17.432701100786048</v>
      </c>
      <c r="BD43" s="22">
        <v>17.424196354051258</v>
      </c>
      <c r="BE43" s="22">
        <v>17.415906102076473</v>
      </c>
      <c r="BF43" s="22">
        <v>17.407837832984583</v>
      </c>
      <c r="BG43" s="22">
        <v>17.399999198282917</v>
      </c>
      <c r="BH43" s="22">
        <v>17.392398000657227</v>
      </c>
      <c r="BI43" s="22">
        <v>17.3850421784167</v>
      </c>
      <c r="BJ43" s="22">
        <v>17.377939786027174</v>
      </c>
      <c r="BK43" s="22">
        <v>17.371098970087257</v>
      </c>
      <c r="BL43" s="22">
        <v>17.364527940008852</v>
      </c>
      <c r="BM43" s="22">
        <v>17.358234932560507</v>
      </c>
      <c r="BN43" s="22">
        <v>17.352228169317819</v>
      </c>
      <c r="BO43" s="22">
        <v>17.346515805941124</v>
      </c>
      <c r="BP43" s="22">
        <v>17.341105872068333</v>
      </c>
      <c r="BQ43" s="22">
        <v>17.336006200472525</v>
      </c>
      <c r="BR43" s="22">
        <v>17.331224343995316</v>
      </c>
      <c r="BS43" s="22">
        <v>17.326767478635489</v>
      </c>
      <c r="BT43" s="22">
        <v>17.322642291060657</v>
      </c>
      <c r="BU43" s="22">
        <v>17.318854848735317</v>
      </c>
      <c r="BV43" s="22">
        <v>17.315410450848081</v>
      </c>
      <c r="BW43" s="22">
        <v>17.312313458312094</v>
      </c>
      <c r="BX43" s="22">
        <v>17.309567101357249</v>
      </c>
      <c r="BY43" s="22">
        <v>17.307173263704961</v>
      </c>
      <c r="BZ43" s="22">
        <v>17.305132243113889</v>
      </c>
      <c r="CA43" s="22">
        <v>17.303442489340707</v>
      </c>
      <c r="CB43" s="22">
        <v>17.302100322445646</v>
      </c>
      <c r="CC43" s="22">
        <v>17.301099637104937</v>
      </c>
      <c r="CD43" s="22">
        <v>17.300431602433175</v>
      </c>
      <c r="CE43" s="22">
        <v>17.300084372061004</v>
      </c>
      <c r="CF43" s="22">
        <v>17.300042826143521</v>
      </c>
      <c r="CG43" s="22">
        <v>17.300288375788369</v>
      </c>
      <c r="CH43" s="22">
        <v>17.300798871028011</v>
      </c>
      <c r="CI43" s="22">
        <v>17.301548665309227</v>
      </c>
      <c r="CJ43" s="22">
        <v>17.302508900887403</v>
      </c>
      <c r="CK43" s="22">
        <v>17.303648087070211</v>
      </c>
      <c r="CL43" s="22">
        <v>17.30493304075689</v>
      </c>
      <c r="CM43" s="22">
        <v>17.306330236140141</v>
      </c>
      <c r="CN43" s="22">
        <v>17.307807553531934</v>
      </c>
      <c r="CO43" s="22">
        <v>17.309336309667664</v>
      </c>
      <c r="CP43" s="22">
        <v>17.310893283440379</v>
      </c>
      <c r="CQ43" s="22">
        <v>17.31246223929638</v>
      </c>
      <c r="CR43" s="22">
        <v>17.31403428223738</v>
      </c>
      <c r="CS43" s="22">
        <v>17.315606467926354</v>
      </c>
      <c r="CT43" s="22">
        <v>17.317178796376275</v>
      </c>
      <c r="CU43" s="22">
        <v>17.318751267600099</v>
      </c>
      <c r="CV43" s="22">
        <v>17.320323881610793</v>
      </c>
    </row>
    <row r="44" spans="3:100" x14ac:dyDescent="0.25">
      <c r="T44" s="22">
        <v>20.282800659918436</v>
      </c>
      <c r="U44" s="22">
        <v>20.284642421833084</v>
      </c>
      <c r="V44" s="22">
        <v>20.286484350987305</v>
      </c>
      <c r="W44" s="22">
        <v>20.288326447396287</v>
      </c>
      <c r="X44" s="22">
        <v>20.282285294116839</v>
      </c>
      <c r="Y44" s="22">
        <v>20.275634215076437</v>
      </c>
      <c r="Z44" s="22">
        <v>20.268065003653152</v>
      </c>
      <c r="AA44" s="22">
        <v>20.260421583323147</v>
      </c>
      <c r="AB44" s="22">
        <v>20.252713152453655</v>
      </c>
      <c r="AC44" s="22">
        <v>20.244975698513453</v>
      </c>
      <c r="AD44" s="22">
        <v>20.2373092476174</v>
      </c>
      <c r="AE44" s="22">
        <v>20.229724751576573</v>
      </c>
      <c r="AF44" s="22">
        <v>20.222235506217562</v>
      </c>
      <c r="AG44" s="22">
        <v>20.214854981928358</v>
      </c>
      <c r="AH44" s="22">
        <v>20.207588104604742</v>
      </c>
      <c r="AI44" s="22">
        <v>20.200439881880364</v>
      </c>
      <c r="AJ44" s="22">
        <v>20.193415186220196</v>
      </c>
      <c r="AK44" s="22">
        <v>20.186518434566391</v>
      </c>
      <c r="AL44" s="22">
        <v>20.179753349278517</v>
      </c>
      <c r="AM44" s="22">
        <v>20.173123664379407</v>
      </c>
      <c r="AN44" s="22">
        <v>20.166633106233174</v>
      </c>
      <c r="AO44" s="22">
        <v>20.160285384746409</v>
      </c>
      <c r="AP44" s="22">
        <v>20.154084210480551</v>
      </c>
      <c r="AQ44" s="22">
        <v>20.148033343499399</v>
      </c>
      <c r="AR44" s="22">
        <v>20.142136592056783</v>
      </c>
      <c r="AS44" s="22">
        <v>20.13639781048121</v>
      </c>
      <c r="AT44" s="22">
        <v>20.130820894125137</v>
      </c>
      <c r="AU44" s="22">
        <v>20.125409773590285</v>
      </c>
      <c r="AV44" s="22">
        <v>19.567280464033857</v>
      </c>
      <c r="AW44" s="22">
        <v>19.561640946829144</v>
      </c>
      <c r="AX44" s="22">
        <v>19.556167744593388</v>
      </c>
      <c r="AY44" s="22">
        <v>19.550864865454876</v>
      </c>
      <c r="AZ44" s="22">
        <v>19.545736336077823</v>
      </c>
      <c r="BA44" s="22">
        <v>19.540786191197</v>
      </c>
      <c r="BB44" s="22">
        <v>19.536018461599259</v>
      </c>
      <c r="BC44" s="22">
        <v>19.531437160375241</v>
      </c>
      <c r="BD44" s="22">
        <v>19.527046267251343</v>
      </c>
      <c r="BE44" s="22">
        <v>19.522849710796603</v>
      </c>
      <c r="BF44" s="22">
        <v>19.518851348277931</v>
      </c>
      <c r="BG44" s="22">
        <v>19.515054942919509</v>
      </c>
      <c r="BH44" s="22">
        <v>19.511464138305577</v>
      </c>
      <c r="BI44" s="22">
        <v>19.508082429650603</v>
      </c>
      <c r="BJ44" s="22">
        <v>19.504913131648109</v>
      </c>
      <c r="BK44" s="22">
        <v>19.501959342600749</v>
      </c>
      <c r="BL44" s="22">
        <v>19.499223904531647</v>
      </c>
      <c r="BM44" s="22">
        <v>19.496709358983203</v>
      </c>
      <c r="BN44" s="22">
        <v>19.494417898227553</v>
      </c>
      <c r="BO44" s="22">
        <v>19.492351311647688</v>
      </c>
      <c r="BP44" s="22">
        <v>19.490510927104712</v>
      </c>
      <c r="BQ44" s="22">
        <v>19.488897547192732</v>
      </c>
      <c r="BR44" s="22">
        <v>19.487511380406609</v>
      </c>
      <c r="BS44" s="22">
        <v>19.486351967421037</v>
      </c>
      <c r="BT44" s="22">
        <v>19.485418102914906</v>
      </c>
      <c r="BU44" s="22">
        <v>19.484707753689449</v>
      </c>
      <c r="BV44" s="22">
        <v>19.484217974240796</v>
      </c>
      <c r="BW44" s="22">
        <v>19.48394482147874</v>
      </c>
      <c r="BX44" s="22">
        <v>19.483883270956767</v>
      </c>
      <c r="BY44" s="22">
        <v>19.484027137816053</v>
      </c>
      <c r="BZ44" s="22">
        <v>19.484369006667208</v>
      </c>
      <c r="CA44" s="22">
        <v>19.484900175845798</v>
      </c>
      <c r="CB44" s="22">
        <v>19.485610622870027</v>
      </c>
      <c r="CC44" s="22">
        <v>19.486488999453258</v>
      </c>
      <c r="CD44" s="22">
        <v>19.487522665974002</v>
      </c>
      <c r="CE44" s="22">
        <v>19.488697776683519</v>
      </c>
      <c r="CF44" s="22">
        <v>19.489999427803024</v>
      </c>
      <c r="CG44" s="22">
        <v>19.491411880509844</v>
      </c>
      <c r="CH44" s="22">
        <v>19.492918868876892</v>
      </c>
      <c r="CI44" s="22">
        <v>19.49450399809049</v>
      </c>
      <c r="CJ44" s="22">
        <v>19.496151229484962</v>
      </c>
      <c r="CK44" s="22">
        <v>19.497845434844351</v>
      </c>
      <c r="CL44" s="22">
        <v>19.49957298228863</v>
      </c>
      <c r="CM44" s="22">
        <v>19.501322290684378</v>
      </c>
      <c r="CN44" s="22">
        <v>19.503084262983592</v>
      </c>
      <c r="CO44" s="22">
        <v>19.504852490924218</v>
      </c>
      <c r="CP44" s="22">
        <v>19.506623131512775</v>
      </c>
      <c r="CQ44" s="22">
        <v>19.508394413308093</v>
      </c>
      <c r="CR44" s="22">
        <v>19.5101658559431</v>
      </c>
      <c r="CS44" s="22">
        <v>19.511937459432403</v>
      </c>
      <c r="CT44" s="22">
        <v>19.513709223790606</v>
      </c>
      <c r="CU44" s="22">
        <v>19.515481149032315</v>
      </c>
      <c r="CV44" s="22">
        <v>19.517253235172138</v>
      </c>
    </row>
    <row r="45" spans="3:100" x14ac:dyDescent="0.25">
      <c r="X45" s="22">
        <v>22.260431209696769</v>
      </c>
      <c r="Y45" s="22">
        <v>22.262452548618008</v>
      </c>
      <c r="Z45" s="22">
        <v>22.264474071085154</v>
      </c>
      <c r="AA45" s="22">
        <v>22.261363339665003</v>
      </c>
      <c r="AB45" s="22">
        <v>22.258021947754642</v>
      </c>
      <c r="AC45" s="22">
        <v>22.254341560954355</v>
      </c>
      <c r="AD45" s="22">
        <v>22.250135167302115</v>
      </c>
      <c r="AE45" s="22">
        <v>22.24594108145952</v>
      </c>
      <c r="AF45" s="22">
        <v>22.241765956104501</v>
      </c>
      <c r="AG45" s="22">
        <v>22.23763090446144</v>
      </c>
      <c r="AH45" s="22">
        <v>22.233591518543982</v>
      </c>
      <c r="AI45" s="22">
        <v>22.229652900191851</v>
      </c>
      <c r="AJ45" s="22">
        <v>22.225821212153733</v>
      </c>
      <c r="AK45" s="22">
        <v>22.222103614868367</v>
      </c>
      <c r="AL45" s="22">
        <v>22.218507199637269</v>
      </c>
      <c r="AM45" s="22">
        <v>22.215034812800965</v>
      </c>
      <c r="AN45" s="22">
        <v>22.211689271387304</v>
      </c>
      <c r="AO45" s="22">
        <v>22.208473270625511</v>
      </c>
      <c r="AP45" s="22">
        <v>22.205389252132008</v>
      </c>
      <c r="AQ45" s="22">
        <v>22.202439308420164</v>
      </c>
      <c r="AR45" s="22">
        <v>22.199625470720626</v>
      </c>
      <c r="AS45" s="22">
        <v>22.196949705797518</v>
      </c>
      <c r="AT45" s="22">
        <v>22.194413919818803</v>
      </c>
      <c r="AU45" s="22">
        <v>22.1920199482038</v>
      </c>
      <c r="AV45" s="22">
        <v>21.595768433447891</v>
      </c>
      <c r="AW45" s="22">
        <v>21.593171582129916</v>
      </c>
      <c r="AX45" s="22">
        <v>21.590716924214405</v>
      </c>
      <c r="AY45" s="22">
        <v>21.588406210484866</v>
      </c>
      <c r="AZ45" s="22">
        <v>21.586241100238762</v>
      </c>
      <c r="BA45" s="22">
        <v>21.584223148332953</v>
      </c>
      <c r="BB45" s="22">
        <v>21.582353791132054</v>
      </c>
      <c r="BC45" s="22">
        <v>21.580634331291606</v>
      </c>
      <c r="BD45" s="22">
        <v>21.579065921309578</v>
      </c>
      <c r="BE45" s="22">
        <v>21.577649545796383</v>
      </c>
      <c r="BF45" s="22">
        <v>21.576386002451191</v>
      </c>
      <c r="BG45" s="22">
        <v>21.575275881720994</v>
      </c>
      <c r="BH45" s="22">
        <v>21.574319545136731</v>
      </c>
      <c r="BI45" s="22">
        <v>21.573517102344333</v>
      </c>
      <c r="BJ45" s="22">
        <v>21.572868386879051</v>
      </c>
      <c r="BK45" s="22">
        <v>21.5723729307702</v>
      </c>
      <c r="BL45" s="22">
        <v>21.572029938111385</v>
      </c>
      <c r="BM45" s="22">
        <v>21.57183825779158</v>
      </c>
      <c r="BN45" s="22">
        <v>21.571796355656375</v>
      </c>
      <c r="BO45" s="22">
        <v>21.571902286458709</v>
      </c>
      <c r="BP45" s="22">
        <v>21.572153666066846</v>
      </c>
      <c r="BQ45" s="22">
        <v>21.572547644526601</v>
      </c>
      <c r="BR45" s="22">
        <v>21.573080880726632</v>
      </c>
      <c r="BS45" s="22">
        <v>21.573749519592202</v>
      </c>
      <c r="BT45" s="22">
        <v>21.574549172933619</v>
      </c>
      <c r="BU45" s="22">
        <v>21.575474905300094</v>
      </c>
      <c r="BV45" s="22">
        <v>21.576521226433201</v>
      </c>
      <c r="BW45" s="22">
        <v>21.57768209216804</v>
      </c>
      <c r="BX45" s="22">
        <v>21.578950915880128</v>
      </c>
      <c r="BY45" s="22">
        <v>21.580320592797957</v>
      </c>
      <c r="BZ45" s="22">
        <v>21.58178353966056</v>
      </c>
      <c r="CA45" s="22">
        <v>21.583331752245673</v>
      </c>
      <c r="CB45" s="22">
        <v>21.584956883157744</v>
      </c>
      <c r="CC45" s="22">
        <v>21.586650341855808</v>
      </c>
      <c r="CD45" s="22">
        <v>21.588403418105528</v>
      </c>
      <c r="CE45" s="22">
        <v>21.590207428726572</v>
      </c>
      <c r="CF45" s="22">
        <v>21.592053885541283</v>
      </c>
      <c r="CG45" s="22">
        <v>21.593934679703946</v>
      </c>
      <c r="CH45" s="22">
        <v>21.595842274074162</v>
      </c>
      <c r="CI45" s="22">
        <v>21.597769891132693</v>
      </c>
      <c r="CJ45" s="22">
        <v>21.59971167956158</v>
      </c>
      <c r="CK45" s="22">
        <v>21.601662838913033</v>
      </c>
      <c r="CL45" s="22">
        <v>21.603619680262227</v>
      </c>
      <c r="CM45" s="22">
        <v>21.605579603476237</v>
      </c>
      <c r="CN45" s="22">
        <v>21.607540981105892</v>
      </c>
      <c r="CO45" s="22">
        <v>21.609502956519695</v>
      </c>
      <c r="CP45" s="22">
        <v>21.611465188472131</v>
      </c>
      <c r="CQ45" s="22">
        <v>21.613427598603316</v>
      </c>
      <c r="CR45" s="22">
        <v>21.615390186929432</v>
      </c>
      <c r="CS45" s="22">
        <v>21.617352953466661</v>
      </c>
      <c r="CT45" s="22">
        <v>21.619315898231179</v>
      </c>
      <c r="CU45" s="22">
        <v>21.621279021239175</v>
      </c>
      <c r="CV45" s="22">
        <v>21.623242322506833</v>
      </c>
    </row>
    <row r="46" spans="3:100" x14ac:dyDescent="0.25">
      <c r="AA46" s="22">
        <v>24.209630364171872</v>
      </c>
      <c r="AB46" s="22">
        <v>24.211828698411804</v>
      </c>
      <c r="AC46" s="22">
        <v>24.214027232269547</v>
      </c>
      <c r="AD46" s="22">
        <v>24.216225965763229</v>
      </c>
      <c r="AE46" s="22">
        <v>24.215207394946308</v>
      </c>
      <c r="AF46" s="22">
        <v>24.214095574867361</v>
      </c>
      <c r="AG46" s="22">
        <v>24.212833993893646</v>
      </c>
      <c r="AH46" s="22">
        <v>24.211324263243917</v>
      </c>
      <c r="AI46" s="22">
        <v>24.209868231567949</v>
      </c>
      <c r="AJ46" s="22">
        <v>24.208467068430835</v>
      </c>
      <c r="AK46" s="22">
        <v>24.207124706119284</v>
      </c>
      <c r="AL46" s="22">
        <v>24.205851875418855</v>
      </c>
      <c r="AM46" s="22">
        <v>24.204675514415698</v>
      </c>
      <c r="AN46" s="22">
        <v>24.203597742171457</v>
      </c>
      <c r="AO46" s="22">
        <v>24.202620998302358</v>
      </c>
      <c r="AP46" s="22">
        <v>24.201747999405253</v>
      </c>
      <c r="AQ46" s="22">
        <v>24.200981291732838</v>
      </c>
      <c r="AR46" s="22">
        <v>24.200321564199882</v>
      </c>
      <c r="AS46" s="22">
        <v>24.199769353961106</v>
      </c>
      <c r="AT46" s="22">
        <v>24.199325017388961</v>
      </c>
      <c r="AU46" s="22">
        <v>24.198988798109973</v>
      </c>
      <c r="AV46" s="22">
        <v>23.567891751408943</v>
      </c>
      <c r="AW46" s="22">
        <v>23.567385532034301</v>
      </c>
      <c r="AX46" s="22">
        <v>23.56698770468644</v>
      </c>
      <c r="AY46" s="22">
        <v>23.56669832465294</v>
      </c>
      <c r="AZ46" s="22">
        <v>23.566517320269032</v>
      </c>
      <c r="BA46" s="22">
        <v>23.566444483634044</v>
      </c>
      <c r="BB46" s="22">
        <v>23.566479461049131</v>
      </c>
      <c r="BC46" s="22">
        <v>23.566621743230531</v>
      </c>
      <c r="BD46" s="22">
        <v>23.566870655340701</v>
      </c>
      <c r="BE46" s="22">
        <v>23.567225346838978</v>
      </c>
      <c r="BF46" s="22">
        <v>23.567684781123297</v>
      </c>
      <c r="BG46" s="22">
        <v>23.568247725218281</v>
      </c>
      <c r="BH46" s="22">
        <v>23.568912739643324</v>
      </c>
      <c r="BI46" s="22">
        <v>23.56967816862165</v>
      </c>
      <c r="BJ46" s="22">
        <v>23.570542130822854</v>
      </c>
      <c r="BK46" s="22">
        <v>23.571502510867333</v>
      </c>
      <c r="BL46" s="22">
        <v>23.572556951862232</v>
      </c>
      <c r="BM46" s="22">
        <v>23.573702849279783</v>
      </c>
      <c r="BN46" s="22">
        <v>23.574937346535307</v>
      </c>
      <c r="BO46" s="22">
        <v>23.576257332671041</v>
      </c>
      <c r="BP46" s="22">
        <v>23.57765944260187</v>
      </c>
      <c r="BQ46" s="22">
        <v>23.57914006042801</v>
      </c>
      <c r="BR46" s="22">
        <v>23.580695326364609</v>
      </c>
      <c r="BS46" s="22">
        <v>23.582321147874875</v>
      </c>
      <c r="BT46" s="22">
        <v>23.584013215615947</v>
      </c>
      <c r="BU46" s="22">
        <v>23.585767024807865</v>
      </c>
      <c r="BV46" s="22">
        <v>23.587577902605751</v>
      </c>
      <c r="BW46" s="22">
        <v>23.589441041981907</v>
      </c>
      <c r="BX46" s="22">
        <v>23.591351542493403</v>
      </c>
      <c r="BY46" s="22">
        <v>23.593304458105177</v>
      </c>
      <c r="BZ46" s="22">
        <v>23.595294851941198</v>
      </c>
      <c r="CA46" s="22">
        <v>23.597317857429129</v>
      </c>
      <c r="CB46" s="22">
        <v>23.599368744773894</v>
      </c>
      <c r="CC46" s="22">
        <v>23.60144299103748</v>
      </c>
      <c r="CD46" s="22">
        <v>23.60353635132747</v>
      </c>
      <c r="CE46" s="22">
        <v>23.605644927743857</v>
      </c>
      <c r="CF46" s="22">
        <v>23.607765231879505</v>
      </c>
      <c r="CG46" s="22">
        <v>23.609894235946953</v>
      </c>
      <c r="CH46" s="22">
        <v>23.612029407209413</v>
      </c>
      <c r="CI46" s="22">
        <v>23.614168720590111</v>
      </c>
      <c r="CJ46" s="22">
        <v>23.616310645426694</v>
      </c>
      <c r="CK46" s="22">
        <v>23.618454104606304</v>
      </c>
      <c r="CL46" s="22">
        <v>23.620598407884113</v>
      </c>
      <c r="CM46" s="22">
        <v>23.622743165808551</v>
      </c>
      <c r="CN46" s="22">
        <v>23.624888195482953</v>
      </c>
      <c r="CO46" s="22">
        <v>23.627033432723401</v>
      </c>
      <c r="CP46" s="22">
        <v>23.629178864760231</v>
      </c>
      <c r="CQ46" s="22">
        <v>23.631324491611139</v>
      </c>
      <c r="CR46" s="22">
        <v>23.63347031329381</v>
      </c>
      <c r="CS46" s="22">
        <v>23.635616329825933</v>
      </c>
      <c r="CT46" s="22">
        <v>23.637762541225204</v>
      </c>
      <c r="CU46" s="22">
        <v>23.639908947509319</v>
      </c>
      <c r="CV46" s="22">
        <v>23.642055548695971</v>
      </c>
    </row>
    <row r="47" spans="3:100" x14ac:dyDescent="0.25">
      <c r="AE47" s="22">
        <v>26.121860034834722</v>
      </c>
      <c r="AF47" s="22">
        <v>26.124232007411813</v>
      </c>
      <c r="AG47" s="22">
        <v>26.12660419537379</v>
      </c>
      <c r="AH47" s="22">
        <v>26.128976598740213</v>
      </c>
      <c r="AI47" s="22">
        <v>26.129584105145817</v>
      </c>
      <c r="AJ47" s="22">
        <v>26.130189730893395</v>
      </c>
      <c r="AK47" s="22">
        <v>26.130778083539024</v>
      </c>
      <c r="AL47" s="22">
        <v>26.131323444009372</v>
      </c>
      <c r="AM47" s="22">
        <v>26.131780633648631</v>
      </c>
      <c r="AN47" s="22">
        <v>26.132296927145987</v>
      </c>
      <c r="AO47" s="22">
        <v>26.132872636976391</v>
      </c>
      <c r="AP47" s="22">
        <v>26.133509117390844</v>
      </c>
      <c r="AQ47" s="22">
        <v>26.134210351810445</v>
      </c>
      <c r="AR47" s="22">
        <v>26.134986655509337</v>
      </c>
      <c r="AS47" s="22">
        <v>26.135838087159499</v>
      </c>
      <c r="AT47" s="22">
        <v>26.136764579862373</v>
      </c>
      <c r="AU47" s="22">
        <v>26.13776551390869</v>
      </c>
      <c r="AV47" s="22">
        <v>25.474563303629726</v>
      </c>
      <c r="AW47" s="22">
        <v>25.475425103365641</v>
      </c>
      <c r="AX47" s="22">
        <v>25.476361898673957</v>
      </c>
      <c r="AY47" s="22">
        <v>25.477372846804258</v>
      </c>
      <c r="AZ47" s="22">
        <v>25.478456962648586</v>
      </c>
      <c r="BA47" s="22">
        <v>25.479613148856608</v>
      </c>
      <c r="BB47" s="22">
        <v>25.480840192209296</v>
      </c>
      <c r="BC47" s="22">
        <v>25.482136760351153</v>
      </c>
      <c r="BD47" s="22">
        <v>25.483501399097506</v>
      </c>
      <c r="BE47" s="22">
        <v>25.484932530606976</v>
      </c>
      <c r="BF47" s="22">
        <v>25.486428452552058</v>
      </c>
      <c r="BG47" s="22">
        <v>25.487987337143043</v>
      </c>
      <c r="BH47" s="22">
        <v>25.489607230987851</v>
      </c>
      <c r="BI47" s="22">
        <v>25.491286055924864</v>
      </c>
      <c r="BJ47" s="22">
        <v>25.493021610974871</v>
      </c>
      <c r="BK47" s="22">
        <v>25.494811575564448</v>
      </c>
      <c r="BL47" s="22">
        <v>25.496653514178035</v>
      </c>
      <c r="BM47" s="22">
        <v>25.498544882617693</v>
      </c>
      <c r="BN47" s="22">
        <v>25.5004830360398</v>
      </c>
      <c r="BO47" s="22">
        <v>25.502465238932864</v>
      </c>
      <c r="BP47" s="22">
        <v>25.504488677188096</v>
      </c>
      <c r="BQ47" s="22">
        <v>25.506550472392359</v>
      </c>
      <c r="BR47" s="22">
        <v>25.508647698439049</v>
      </c>
      <c r="BS47" s="22">
        <v>25.510777400503997</v>
      </c>
      <c r="BT47" s="22">
        <v>25.512936616367206</v>
      </c>
      <c r="BU47" s="22">
        <v>25.515122399974999</v>
      </c>
      <c r="BV47" s="22">
        <v>25.517331847028327</v>
      </c>
      <c r="BW47" s="22">
        <v>25.519562122249745</v>
      </c>
      <c r="BX47" s="22">
        <v>25.521810487824347</v>
      </c>
      <c r="BY47" s="22">
        <v>25.5240743323311</v>
      </c>
      <c r="BZ47" s="22">
        <v>25.526351199286456</v>
      </c>
      <c r="CA47" s="22">
        <v>25.528638814223488</v>
      </c>
      <c r="CB47" s="22">
        <v>25.530935109045018</v>
      </c>
      <c r="CC47" s="22">
        <v>25.533238242244192</v>
      </c>
      <c r="CD47" s="22">
        <v>25.535546613516271</v>
      </c>
      <c r="CE47" s="22">
        <v>25.537858871333658</v>
      </c>
      <c r="CF47" s="22">
        <v>25.540173912271623</v>
      </c>
      <c r="CG47" s="22">
        <v>25.542490871299439</v>
      </c>
      <c r="CH47" s="22">
        <v>25.544809102921093</v>
      </c>
      <c r="CI47" s="22">
        <v>25.547128153954116</v>
      </c>
      <c r="CJ47" s="22">
        <v>25.549447729805003</v>
      </c>
      <c r="CK47" s="22">
        <v>25.551767657177574</v>
      </c>
      <c r="CL47" s="22">
        <v>25.554087846976977</v>
      </c>
      <c r="CM47" s="22">
        <v>25.556408261412308</v>
      </c>
      <c r="CN47" s="22">
        <v>25.558728888637322</v>
      </c>
      <c r="CO47" s="22">
        <v>25.561049726584855</v>
      </c>
      <c r="CP47" s="22">
        <v>25.563370775274045</v>
      </c>
      <c r="CQ47" s="22">
        <v>25.565692034724027</v>
      </c>
      <c r="CR47" s="22">
        <v>25.568013504953939</v>
      </c>
      <c r="CS47" s="22">
        <v>25.570335185982913</v>
      </c>
      <c r="CT47" s="22">
        <v>25.57265707783009</v>
      </c>
      <c r="CU47" s="22">
        <v>25.574979180514624</v>
      </c>
      <c r="CV47" s="22">
        <v>25.577301494055657</v>
      </c>
    </row>
    <row r="48" spans="3:100" x14ac:dyDescent="0.25">
      <c r="AI48" s="22">
        <v>27.980204692549137</v>
      </c>
      <c r="AJ48" s="22">
        <v>27.982745410482071</v>
      </c>
      <c r="AK48" s="22">
        <v>27.985286359122668</v>
      </c>
      <c r="AL48" s="22">
        <v>27.987827538491874</v>
      </c>
      <c r="AM48" s="22">
        <v>27.990368948610644</v>
      </c>
      <c r="AN48" s="22">
        <v>27.992066334830689</v>
      </c>
      <c r="AO48" s="22">
        <v>27.993781443599246</v>
      </c>
      <c r="AP48" s="22">
        <v>27.995508203007489</v>
      </c>
      <c r="AQ48" s="22">
        <v>27.997236528654852</v>
      </c>
      <c r="AR48" s="22">
        <v>27.998948766553948</v>
      </c>
      <c r="AS48" s="22">
        <v>28.000704779147021</v>
      </c>
      <c r="AT48" s="22">
        <v>28.00250483153631</v>
      </c>
      <c r="AU48" s="22">
        <v>28.004350724109202</v>
      </c>
      <c r="AV48" s="22">
        <v>27.311280818034586</v>
      </c>
      <c r="AW48" s="22">
        <v>27.3130096526559</v>
      </c>
      <c r="AX48" s="22">
        <v>27.314785690002111</v>
      </c>
      <c r="AY48" s="22">
        <v>27.316607996390804</v>
      </c>
      <c r="AZ48" s="22">
        <v>27.318475546974781</v>
      </c>
      <c r="BA48" s="22">
        <v>27.320387050664177</v>
      </c>
      <c r="BB48" s="22">
        <v>27.322341150435403</v>
      </c>
      <c r="BC48" s="22">
        <v>27.324336424204358</v>
      </c>
      <c r="BD48" s="22">
        <v>27.326371385728244</v>
      </c>
      <c r="BE48" s="22">
        <v>27.328444485671337</v>
      </c>
      <c r="BF48" s="22">
        <v>27.330554114044933</v>
      </c>
      <c r="BG48" s="22">
        <v>27.33269860904192</v>
      </c>
      <c r="BH48" s="22">
        <v>27.334876261563291</v>
      </c>
      <c r="BI48" s="22">
        <v>27.337085320518671</v>
      </c>
      <c r="BJ48" s="22">
        <v>27.339323998949279</v>
      </c>
      <c r="BK48" s="22">
        <v>27.341590481016631</v>
      </c>
      <c r="BL48" s="22">
        <v>27.343882929877406</v>
      </c>
      <c r="BM48" s="22">
        <v>27.346199496369607</v>
      </c>
      <c r="BN48" s="22">
        <v>27.348538328556096</v>
      </c>
      <c r="BO48" s="22">
        <v>27.350897582087889</v>
      </c>
      <c r="BP48" s="22">
        <v>27.353275431320515</v>
      </c>
      <c r="BQ48" s="22">
        <v>27.355670081082895</v>
      </c>
      <c r="BR48" s="22">
        <v>27.35807977895848</v>
      </c>
      <c r="BS48" s="22">
        <v>27.360502827894038</v>
      </c>
      <c r="BT48" s="22">
        <v>27.362937598903095</v>
      </c>
      <c r="BU48" s="22">
        <v>27.365382543579393</v>
      </c>
      <c r="BV48" s="22">
        <v>27.367836206084451</v>
      </c>
      <c r="BW48" s="22">
        <v>27.37029723422469</v>
      </c>
      <c r="BX48" s="22">
        <v>27.372764389193474</v>
      </c>
      <c r="BY48" s="22">
        <v>27.37523655352696</v>
      </c>
      <c r="BZ48" s="22">
        <v>27.37771273681826</v>
      </c>
      <c r="CA48" s="22">
        <v>27.380192078759983</v>
      </c>
      <c r="CB48" s="22">
        <v>27.38267384915018</v>
      </c>
      <c r="CC48" s="22">
        <v>27.385157444608925</v>
      </c>
      <c r="CD48" s="22">
        <v>27.387642381917658</v>
      </c>
      <c r="CE48" s="22">
        <v>27.390128288110912</v>
      </c>
      <c r="CF48" s="22">
        <v>27.392614887710845</v>
      </c>
      <c r="CG48" s="22">
        <v>27.395101987778141</v>
      </c>
      <c r="CH48" s="22">
        <v>27.397589461721392</v>
      </c>
      <c r="CI48" s="22">
        <v>27.400077233009817</v>
      </c>
      <c r="CJ48" s="22">
        <v>27.402565260009808</v>
      </c>
      <c r="CK48" s="22">
        <v>27.405053523057148</v>
      </c>
      <c r="CL48" s="22">
        <v>27.40754201455244</v>
      </c>
      <c r="CM48" s="22">
        <v>27.410030732353441</v>
      </c>
      <c r="CN48" s="22">
        <v>27.412519676140278</v>
      </c>
      <c r="CO48" s="22">
        <v>27.415008845933471</v>
      </c>
      <c r="CP48" s="22">
        <v>27.417498241753542</v>
      </c>
      <c r="CQ48" s="22">
        <v>27.419987863621014</v>
      </c>
      <c r="CR48" s="22">
        <v>27.422477711556418</v>
      </c>
      <c r="CS48" s="22">
        <v>27.424967785580275</v>
      </c>
      <c r="CT48" s="22">
        <v>27.427458085713127</v>
      </c>
      <c r="CU48" s="22">
        <v>27.429948611975487</v>
      </c>
      <c r="CV48" s="22">
        <v>27.432439364387903</v>
      </c>
    </row>
    <row r="49" spans="40:100" x14ac:dyDescent="0.25">
      <c r="AN49" s="22">
        <v>29.779811910236308</v>
      </c>
      <c r="AO49" s="22">
        <v>29.78251603992339</v>
      </c>
      <c r="AP49" s="22">
        <v>29.785220415156594</v>
      </c>
      <c r="AQ49" s="22">
        <v>29.787925035958217</v>
      </c>
      <c r="AR49" s="22">
        <v>29.79062990235056</v>
      </c>
      <c r="AS49" s="22">
        <v>29.792996791061597</v>
      </c>
      <c r="AT49" s="22">
        <v>29.795376448306477</v>
      </c>
      <c r="AU49" s="22">
        <v>29.797763974821248</v>
      </c>
      <c r="AV49" s="22">
        <v>29.076663333562035</v>
      </c>
      <c r="AW49" s="22">
        <v>29.078941665503162</v>
      </c>
      <c r="AX49" s="22">
        <v>29.081245814088756</v>
      </c>
      <c r="AY49" s="22">
        <v>29.083575012677059</v>
      </c>
      <c r="AZ49" s="22">
        <v>29.08592873341631</v>
      </c>
      <c r="BA49" s="22">
        <v>29.08830706311041</v>
      </c>
      <c r="BB49" s="22">
        <v>29.090708893551867</v>
      </c>
      <c r="BC49" s="22">
        <v>29.093133098145071</v>
      </c>
      <c r="BD49" s="22">
        <v>29.09557853608608</v>
      </c>
      <c r="BE49" s="22">
        <v>29.098044055239363</v>
      </c>
      <c r="BF49" s="22">
        <v>29.100528489638847</v>
      </c>
      <c r="BG49" s="22">
        <v>29.103030640160622</v>
      </c>
      <c r="BH49" s="22">
        <v>29.105549308836977</v>
      </c>
      <c r="BI49" s="22">
        <v>29.10808330389505</v>
      </c>
      <c r="BJ49" s="22">
        <v>29.110631445049101</v>
      </c>
      <c r="BK49" s="22">
        <v>29.113192569015705</v>
      </c>
      <c r="BL49" s="22">
        <v>29.115765535275699</v>
      </c>
      <c r="BM49" s="22">
        <v>29.118349232324199</v>
      </c>
      <c r="BN49" s="22">
        <v>29.120942583626</v>
      </c>
      <c r="BO49" s="22">
        <v>29.123544553537794</v>
      </c>
      <c r="BP49" s="22">
        <v>29.126154153090745</v>
      </c>
      <c r="BQ49" s="22">
        <v>29.128770445512558</v>
      </c>
      <c r="BR49" s="22">
        <v>29.131392551354661</v>
      </c>
      <c r="BS49" s="22">
        <v>29.134019653079037</v>
      </c>
      <c r="BT49" s="22">
        <v>29.136650998951037</v>
      </c>
      <c r="BU49" s="22">
        <v>29.139285906084055</v>
      </c>
      <c r="BV49" s="22">
        <v>29.141923762485934</v>
      </c>
      <c r="BW49" s="22">
        <v>29.144564027971281</v>
      </c>
      <c r="BX49" s="22">
        <v>29.147206233828374</v>
      </c>
      <c r="BY49" s="22">
        <v>29.149849981166533</v>
      </c>
      <c r="BZ49" s="22">
        <v>29.152494937920004</v>
      </c>
      <c r="CA49" s="22">
        <v>29.155140834547478</v>
      </c>
      <c r="CB49" s="22">
        <v>29.157787458540174</v>
      </c>
      <c r="CC49" s="22">
        <v>29.160434647932156</v>
      </c>
      <c r="CD49" s="22">
        <v>29.16308228408711</v>
      </c>
      <c r="CE49" s="22">
        <v>29.165730284106598</v>
      </c>
      <c r="CF49" s="22">
        <v>29.168378593254268</v>
      </c>
      <c r="CG49" s="22">
        <v>29.171027177805449</v>
      </c>
      <c r="CH49" s="22">
        <v>29.173676018700611</v>
      </c>
      <c r="CI49" s="22">
        <v>29.176325106298698</v>
      </c>
      <c r="CJ49" s="22">
        <v>29.178974436395137</v>
      </c>
      <c r="CK49" s="22">
        <v>29.181624007507136</v>
      </c>
      <c r="CL49" s="22">
        <v>29.18427381926665</v>
      </c>
      <c r="CM49" s="22">
        <v>29.186923871639998</v>
      </c>
      <c r="CN49" s="22">
        <v>29.189574164649031</v>
      </c>
      <c r="CO49" s="22">
        <v>29.192224698315584</v>
      </c>
      <c r="CP49" s="22">
        <v>29.194875472661526</v>
      </c>
      <c r="CQ49" s="22">
        <v>29.197526487708704</v>
      </c>
      <c r="CR49" s="22">
        <v>29.200177743478978</v>
      </c>
      <c r="CS49" s="22">
        <v>29.202829239994209</v>
      </c>
      <c r="CT49" s="22">
        <v>29.205480977276249</v>
      </c>
      <c r="CU49" s="22">
        <v>29.208132955346972</v>
      </c>
      <c r="CV49" s="22">
        <v>29.210785174228231</v>
      </c>
    </row>
    <row r="50" spans="40:100" x14ac:dyDescent="0.25">
      <c r="AS50" s="22">
        <v>31.513085242588588</v>
      </c>
      <c r="AT50" s="22">
        <v>31.515946760639569</v>
      </c>
      <c r="AU50" s="22">
        <v>31.518808538528187</v>
      </c>
      <c r="AV50" s="22">
        <v>30.771250997170508</v>
      </c>
      <c r="AW50" s="22">
        <v>30.773900657525143</v>
      </c>
      <c r="AX50" s="22">
        <v>30.776560600704411</v>
      </c>
      <c r="AY50" s="22">
        <v>30.779229770941413</v>
      </c>
      <c r="AZ50" s="22">
        <v>30.781906713520641</v>
      </c>
      <c r="BA50" s="22">
        <v>30.784589224754871</v>
      </c>
      <c r="BB50" s="22">
        <v>30.787283455622145</v>
      </c>
      <c r="BC50" s="22">
        <v>30.789988670221817</v>
      </c>
      <c r="BD50" s="22">
        <v>30.792704141761686</v>
      </c>
      <c r="BE50" s="22">
        <v>30.795429164828462</v>
      </c>
      <c r="BF50" s="22">
        <v>30.798163079737687</v>
      </c>
      <c r="BG50" s="22">
        <v>30.80090532507467</v>
      </c>
      <c r="BH50" s="22">
        <v>30.803655185412737</v>
      </c>
      <c r="BI50" s="22">
        <v>30.806411968110535</v>
      </c>
      <c r="BJ50" s="22">
        <v>30.809175006320693</v>
      </c>
      <c r="BK50" s="22">
        <v>30.81194366178546</v>
      </c>
      <c r="BL50" s="22">
        <v>30.814717327126797</v>
      </c>
      <c r="BM50" s="22">
        <v>30.817495426896517</v>
      </c>
      <c r="BN50" s="22">
        <v>30.820277421826283</v>
      </c>
      <c r="BO50" s="22">
        <v>30.823062810690953</v>
      </c>
      <c r="BP50" s="22">
        <v>30.825851131801404</v>
      </c>
      <c r="BQ50" s="22">
        <v>30.82864196407213</v>
      </c>
      <c r="BR50" s="22">
        <v>30.831434927613369</v>
      </c>
      <c r="BS50" s="22">
        <v>30.834229683805379</v>
      </c>
      <c r="BT50" s="22">
        <v>30.837025934824958</v>
      </c>
      <c r="BU50" s="22">
        <v>30.839823422598432</v>
      </c>
      <c r="BV50" s="22">
        <v>30.842621927184407</v>
      </c>
      <c r="BW50" s="22">
        <v>30.845421264606163</v>
      </c>
      <c r="BX50" s="22">
        <v>30.848221284177558</v>
      </c>
      <c r="BY50" s="22">
        <v>30.85102186539163</v>
      </c>
      <c r="BZ50" s="22">
        <v>30.853822914466804</v>
      </c>
      <c r="CA50" s="22">
        <v>30.856624360668963</v>
      </c>
      <c r="CB50" s="22">
        <v>30.859426152546366</v>
      </c>
      <c r="CC50" s="22">
        <v>30.862228254225354</v>
      </c>
      <c r="CD50" s="22">
        <v>30.865030641914867</v>
      </c>
      <c r="CE50" s="22">
        <v>30.867833300755159</v>
      </c>
      <c r="CF50" s="22">
        <v>30.870636222119035</v>
      </c>
      <c r="CG50" s="22">
        <v>30.873439401434368</v>
      </c>
      <c r="CH50" s="22">
        <v>30.87624283654737</v>
      </c>
      <c r="CI50" s="22">
        <v>30.879046526594752</v>
      </c>
      <c r="CJ50" s="22">
        <v>30.88185047130747</v>
      </c>
      <c r="CK50" s="22">
        <v>30.884654670638987</v>
      </c>
      <c r="CL50" s="22">
        <v>30.887459124603367</v>
      </c>
      <c r="CM50" s="22">
        <v>30.890263833223731</v>
      </c>
      <c r="CN50" s="22">
        <v>30.893068796523195</v>
      </c>
      <c r="CO50" s="22">
        <v>30.895874014524896</v>
      </c>
      <c r="CP50" s="22">
        <v>30.89867948725195</v>
      </c>
      <c r="CQ50" s="22">
        <v>30.90148521472749</v>
      </c>
      <c r="CR50" s="22">
        <v>30.904291196974654</v>
      </c>
      <c r="CS50" s="22">
        <v>30.907097434016571</v>
      </c>
      <c r="CT50" s="22">
        <v>30.909903925876382</v>
      </c>
      <c r="CU50" s="22">
        <v>30.912710672577223</v>
      </c>
      <c r="CV50" s="22">
        <v>30.915517674142237</v>
      </c>
    </row>
    <row r="51" spans="40:100" x14ac:dyDescent="0.25">
      <c r="AV51" s="22">
        <v>32.396605236132174</v>
      </c>
      <c r="AW51" s="22">
        <v>32.399546981440835</v>
      </c>
      <c r="AX51" s="22">
        <v>32.402488993872097</v>
      </c>
      <c r="AY51" s="22">
        <v>32.405431273450212</v>
      </c>
      <c r="AZ51" s="22">
        <v>32.408373820199444</v>
      </c>
      <c r="BA51" s="22">
        <v>32.41131663414405</v>
      </c>
      <c r="BB51" s="22">
        <v>32.414223740608925</v>
      </c>
      <c r="BC51" s="22">
        <v>32.417135241510586</v>
      </c>
      <c r="BD51" s="22">
        <v>32.420050753026672</v>
      </c>
      <c r="BE51" s="22">
        <v>32.422969871986759</v>
      </c>
      <c r="BF51" s="22">
        <v>32.425892155000383</v>
      </c>
      <c r="BG51" s="22">
        <v>32.428817074283479</v>
      </c>
      <c r="BH51" s="22">
        <v>32.431745281487856</v>
      </c>
      <c r="BI51" s="22">
        <v>32.434676428198458</v>
      </c>
      <c r="BJ51" s="22">
        <v>32.437610187845252</v>
      </c>
      <c r="BK51" s="22">
        <v>32.440546257144888</v>
      </c>
      <c r="BL51" s="22">
        <v>32.443484358034588</v>
      </c>
      <c r="BM51" s="22">
        <v>32.446424241023117</v>
      </c>
      <c r="BN51" s="22">
        <v>32.449365669007712</v>
      </c>
      <c r="BO51" s="22">
        <v>32.452308429270303</v>
      </c>
      <c r="BP51" s="22">
        <v>32.455252333035915</v>
      </c>
      <c r="BQ51" s="22">
        <v>32.458197214769172</v>
      </c>
      <c r="BR51" s="22">
        <v>32.461142931212976</v>
      </c>
      <c r="BS51" s="22">
        <v>32.46408936017982</v>
      </c>
      <c r="BT51" s="22">
        <v>32.467036399110647</v>
      </c>
      <c r="BU51" s="22">
        <v>32.469983963474782</v>
      </c>
      <c r="BV51" s="22">
        <v>32.472931984990403</v>
      </c>
      <c r="BW51" s="22">
        <v>32.475880409736718</v>
      </c>
      <c r="BX51" s="22">
        <v>32.478829196210413</v>
      </c>
      <c r="BY51" s="22">
        <v>32.481778313383401</v>
      </c>
      <c r="BZ51" s="22">
        <v>32.484727738820304</v>
      </c>
      <c r="CA51" s="22">
        <v>32.48767745691223</v>
      </c>
      <c r="CB51" s="22">
        <v>32.490627457277022</v>
      </c>
      <c r="CC51" s="22">
        <v>32.493577733366067</v>
      </c>
      <c r="CD51" s="22">
        <v>32.496528281303767</v>
      </c>
      <c r="CE51" s="22">
        <v>32.499479098969083</v>
      </c>
      <c r="CF51" s="22">
        <v>32.502430185311418</v>
      </c>
      <c r="CG51" s="22">
        <v>32.505381539876637</v>
      </c>
      <c r="CH51" s="22">
        <v>32.508333162506794</v>
      </c>
      <c r="CI51" s="22">
        <v>32.511285053170283</v>
      </c>
      <c r="CJ51" s="22">
        <v>32.514237211879092</v>
      </c>
      <c r="CK51" s="22">
        <v>32.517189638656077</v>
      </c>
      <c r="CL51" s="22">
        <v>32.520142333525577</v>
      </c>
      <c r="CM51" s="22">
        <v>32.523095296511954</v>
      </c>
      <c r="CN51" s="22">
        <v>32.526048527639546</v>
      </c>
      <c r="CO51" s="22">
        <v>32.529002026932694</v>
      </c>
      <c r="CP51" s="22">
        <v>32.531955794415758</v>
      </c>
      <c r="CQ51" s="22">
        <v>32.534909830113087</v>
      </c>
      <c r="CR51" s="22">
        <v>32.537864134049023</v>
      </c>
      <c r="CS51" s="22">
        <v>32.540818706247947</v>
      </c>
      <c r="CT51" s="22">
        <v>32.543773546734201</v>
      </c>
      <c r="CU51" s="22">
        <v>32.546728655532156</v>
      </c>
      <c r="CV51" s="22">
        <v>32.549684032666171</v>
      </c>
    </row>
    <row r="52" spans="40:100" x14ac:dyDescent="0.25">
      <c r="BB52" s="22">
        <v>33.97402938469952</v>
      </c>
      <c r="BC52" s="22">
        <v>33.977114366623709</v>
      </c>
      <c r="BD52" s="22">
        <v>33.980199628676978</v>
      </c>
      <c r="BE52" s="22">
        <v>33.983285170884763</v>
      </c>
      <c r="BF52" s="22">
        <v>33.986370993272494</v>
      </c>
      <c r="BG52" s="22">
        <v>33.989457095865625</v>
      </c>
      <c r="BH52" s="22">
        <v>33.992538511406238</v>
      </c>
      <c r="BI52" s="22">
        <v>33.9956210971391</v>
      </c>
      <c r="BJ52" s="22">
        <v>33.998704724161925</v>
      </c>
      <c r="BK52" s="22">
        <v>34.001789273317542</v>
      </c>
      <c r="BL52" s="22">
        <v>34.004874633895554</v>
      </c>
      <c r="BM52" s="22">
        <v>34.00796070086438</v>
      </c>
      <c r="BN52" s="22">
        <v>34.011047453864322</v>
      </c>
      <c r="BO52" s="22">
        <v>34.014134813356655</v>
      </c>
      <c r="BP52" s="22">
        <v>34.017222711405687</v>
      </c>
      <c r="BQ52" s="22">
        <v>34.020311090815866</v>
      </c>
      <c r="BR52" s="22">
        <v>34.023399904195635</v>
      </c>
      <c r="BS52" s="22">
        <v>34.026489112971724</v>
      </c>
      <c r="BT52" s="22">
        <v>34.02957868638503</v>
      </c>
      <c r="BU52" s="22">
        <v>34.032668600293846</v>
      </c>
      <c r="BV52" s="22">
        <v>34.035758836291969</v>
      </c>
      <c r="BW52" s="22">
        <v>34.03884938072428</v>
      </c>
      <c r="BX52" s="22">
        <v>34.041940223770006</v>
      </c>
      <c r="BY52" s="22">
        <v>34.045031358612597</v>
      </c>
      <c r="BZ52" s="22">
        <v>34.048122780711246</v>
      </c>
      <c r="CA52" s="22">
        <v>34.051214487183309</v>
      </c>
      <c r="CB52" s="22">
        <v>34.054306476301029</v>
      </c>
      <c r="CC52" s="22">
        <v>34.057398747099555</v>
      </c>
      <c r="CD52" s="22">
        <v>34.060491299087168</v>
      </c>
      <c r="CE52" s="22">
        <v>34.063584132044092</v>
      </c>
      <c r="CF52" s="22">
        <v>34.066677245892869</v>
      </c>
      <c r="CG52" s="22">
        <v>34.069770640622139</v>
      </c>
      <c r="CH52" s="22">
        <v>34.072864316246815</v>
      </c>
      <c r="CI52" s="22">
        <v>34.075958272790224</v>
      </c>
      <c r="CJ52" s="22">
        <v>34.079052510277648</v>
      </c>
      <c r="CK52" s="22">
        <v>34.082147028734596</v>
      </c>
      <c r="CL52" s="22">
        <v>34.085241828186575</v>
      </c>
      <c r="CM52" s="22">
        <v>34.088336908659102</v>
      </c>
      <c r="CN52" s="22">
        <v>34.091432270177698</v>
      </c>
      <c r="CO52" s="22">
        <v>34.09452791276788</v>
      </c>
      <c r="CP52" s="22">
        <v>34.09762383645517</v>
      </c>
      <c r="CQ52" s="22">
        <v>34.100720041265092</v>
      </c>
      <c r="CR52" s="22">
        <v>34.103816527223174</v>
      </c>
      <c r="CS52" s="22">
        <v>34.106913294354946</v>
      </c>
      <c r="CT52" s="22">
        <v>34.110010342685939</v>
      </c>
      <c r="CU52" s="22">
        <v>34.113107672241689</v>
      </c>
      <c r="CV52" s="22">
        <v>34.116205283047734</v>
      </c>
    </row>
    <row r="53" spans="40:100" x14ac:dyDescent="0.25">
      <c r="BH53" s="22">
        <v>35.488753042092242</v>
      </c>
      <c r="BI53" s="22">
        <v>35.491975567168886</v>
      </c>
      <c r="BJ53" s="22">
        <v>35.495198384864096</v>
      </c>
      <c r="BK53" s="22">
        <v>35.49842149520444</v>
      </c>
      <c r="BL53" s="22">
        <v>35.50164489821649</v>
      </c>
      <c r="BM53" s="22">
        <v>35.504868593926822</v>
      </c>
      <c r="BN53" s="22">
        <v>35.508092272248433</v>
      </c>
      <c r="BO53" s="22">
        <v>35.511316328971553</v>
      </c>
      <c r="BP53" s="22">
        <v>35.514540743788146</v>
      </c>
      <c r="BQ53" s="22">
        <v>35.517765500223859</v>
      </c>
      <c r="BR53" s="22">
        <v>35.520990585156127</v>
      </c>
      <c r="BS53" s="22">
        <v>35.524215988332401</v>
      </c>
      <c r="BT53" s="22">
        <v>35.527441701893153</v>
      </c>
      <c r="BU53" s="22">
        <v>35.530667720692577</v>
      </c>
      <c r="BV53" s="22">
        <v>35.533894040427036</v>
      </c>
      <c r="BW53" s="22">
        <v>35.537120658117992</v>
      </c>
      <c r="BX53" s="22">
        <v>35.540347571782007</v>
      </c>
      <c r="BY53" s="22">
        <v>35.543574780156874</v>
      </c>
      <c r="BZ53" s="22">
        <v>35.546802282482247</v>
      </c>
      <c r="CA53" s="22">
        <v>35.550030078330849</v>
      </c>
      <c r="CB53" s="22">
        <v>35.553258167484586</v>
      </c>
      <c r="CC53" s="22">
        <v>35.556486549848415</v>
      </c>
      <c r="CD53" s="22">
        <v>35.559715225394186</v>
      </c>
      <c r="CE53" s="22">
        <v>35.56294419412675</v>
      </c>
      <c r="CF53" s="22">
        <v>35.5661734560654</v>
      </c>
      <c r="CG53" s="22">
        <v>35.569403011234755</v>
      </c>
      <c r="CH53" s="22">
        <v>35.572632859661077</v>
      </c>
      <c r="CI53" s="22">
        <v>35.575863001370948</v>
      </c>
      <c r="CJ53" s="22">
        <v>35.579093436390998</v>
      </c>
      <c r="CK53" s="22">
        <v>35.582324164747874</v>
      </c>
      <c r="CL53" s="22">
        <v>35.585555186468198</v>
      </c>
      <c r="CM53" s="22">
        <v>35.588786501578618</v>
      </c>
      <c r="CN53" s="22">
        <v>35.592018110105762</v>
      </c>
      <c r="CO53" s="22">
        <v>35.595250012076292</v>
      </c>
      <c r="CP53" s="22">
        <v>35.598482207516845</v>
      </c>
      <c r="CQ53" s="22">
        <v>35.601714696454067</v>
      </c>
      <c r="CR53" s="22">
        <v>35.60494747891461</v>
      </c>
      <c r="CS53" s="22">
        <v>35.608180554925127</v>
      </c>
      <c r="CT53" s="22">
        <v>35.61141392451227</v>
      </c>
      <c r="CU53" s="22">
        <v>35.614647587702706</v>
      </c>
      <c r="CV53" s="22">
        <v>35.617881544523087</v>
      </c>
    </row>
    <row r="54" spans="40:100" x14ac:dyDescent="0.25">
      <c r="BN54" s="22">
        <v>36.943169849158764</v>
      </c>
      <c r="BO54" s="22">
        <v>36.946524441277248</v>
      </c>
      <c r="BP54" s="22">
        <v>36.949879338006525</v>
      </c>
      <c r="BQ54" s="22">
        <v>36.953234539374257</v>
      </c>
      <c r="BR54" s="22">
        <v>36.956590045408106</v>
      </c>
      <c r="BS54" s="22">
        <v>36.959945856135732</v>
      </c>
      <c r="BT54" s="22">
        <v>36.963301971584805</v>
      </c>
      <c r="BU54" s="22">
        <v>36.966658388872062</v>
      </c>
      <c r="BV54" s="22">
        <v>36.970015112262161</v>
      </c>
      <c r="BW54" s="22">
        <v>36.973372141224147</v>
      </c>
      <c r="BX54" s="22">
        <v>36.976729475439633</v>
      </c>
      <c r="BY54" s="22">
        <v>36.980087114732569</v>
      </c>
      <c r="BZ54" s="22">
        <v>36.98344505901759</v>
      </c>
      <c r="CA54" s="22">
        <v>36.98680330826393</v>
      </c>
      <c r="CB54" s="22">
        <v>36.990161862471552</v>
      </c>
      <c r="CC54" s="22">
        <v>36.993520721656154</v>
      </c>
      <c r="CD54" s="22">
        <v>36.996879885840912</v>
      </c>
      <c r="CE54" s="22">
        <v>37.000239355052059</v>
      </c>
      <c r="CF54" s="22">
        <v>37.003599129316939</v>
      </c>
      <c r="CG54" s="22">
        <v>37.006959208663176</v>
      </c>
      <c r="CH54" s="22">
        <v>37.010319593118467</v>
      </c>
      <c r="CI54" s="22">
        <v>37.013680282710524</v>
      </c>
      <c r="CJ54" s="22">
        <v>37.017041277467051</v>
      </c>
      <c r="CK54" s="22">
        <v>37.020402577415751</v>
      </c>
      <c r="CL54" s="22">
        <v>37.023764182584344</v>
      </c>
      <c r="CM54" s="22">
        <v>37.027126093000547</v>
      </c>
      <c r="CN54" s="22">
        <v>37.030488308692078</v>
      </c>
      <c r="CO54" s="22">
        <v>37.033850829686649</v>
      </c>
      <c r="CP54" s="22">
        <v>37.037213656011993</v>
      </c>
      <c r="CQ54" s="22">
        <v>37.040576787695819</v>
      </c>
      <c r="CR54" s="22">
        <v>37.043940224765883</v>
      </c>
      <c r="CS54" s="22">
        <v>37.047303967249881</v>
      </c>
      <c r="CT54" s="22">
        <v>37.050668015175575</v>
      </c>
      <c r="CU54" s="22">
        <v>37.054032368570695</v>
      </c>
      <c r="CV54" s="22">
        <v>37.057397027462962</v>
      </c>
    </row>
    <row r="55" spans="40:100" x14ac:dyDescent="0.25">
      <c r="BU55" s="22">
        <v>38.343207302185576</v>
      </c>
      <c r="BV55" s="22">
        <v>38.346689023476372</v>
      </c>
      <c r="BW55" s="22">
        <v>38.350171060921816</v>
      </c>
      <c r="BX55" s="22">
        <v>38.353653414550614</v>
      </c>
      <c r="BY55" s="22">
        <v>38.357136084391477</v>
      </c>
      <c r="BZ55" s="22">
        <v>38.360619070473113</v>
      </c>
      <c r="CA55" s="22">
        <v>38.364102372824249</v>
      </c>
      <c r="CB55" s="22">
        <v>38.367585991473142</v>
      </c>
      <c r="CC55" s="22">
        <v>38.37106992644933</v>
      </c>
      <c r="CD55" s="22">
        <v>38.374554177781256</v>
      </c>
      <c r="CE55" s="22">
        <v>38.378038745497584</v>
      </c>
      <c r="CF55" s="22">
        <v>38.381523629627019</v>
      </c>
      <c r="CG55" s="22">
        <v>38.385008830198309</v>
      </c>
      <c r="CH55" s="22">
        <v>38.388494347240169</v>
      </c>
      <c r="CI55" s="22">
        <v>38.391980180781339</v>
      </c>
      <c r="CJ55" s="22">
        <v>38.395466330850567</v>
      </c>
      <c r="CK55" s="22">
        <v>38.398952797476596</v>
      </c>
      <c r="CL55" s="22">
        <v>38.402439580688174</v>
      </c>
      <c r="CM55" s="22">
        <v>38.405926680514035</v>
      </c>
      <c r="CN55" s="22">
        <v>38.409414096982943</v>
      </c>
      <c r="CO55" s="22">
        <v>38.412901830123637</v>
      </c>
      <c r="CP55" s="22">
        <v>38.416389879964882</v>
      </c>
      <c r="CQ55" s="22">
        <v>38.419878246535433</v>
      </c>
      <c r="CR55" s="22">
        <v>38.423366929864038</v>
      </c>
      <c r="CS55" s="22">
        <v>38.426855929979482</v>
      </c>
      <c r="CT55" s="22">
        <v>38.43034524691052</v>
      </c>
      <c r="CU55" s="22">
        <v>38.433834880685914</v>
      </c>
      <c r="CV55" s="22">
        <v>38.437324831334443</v>
      </c>
    </row>
    <row r="56" spans="40:100" x14ac:dyDescent="0.25">
      <c r="CB56" s="22">
        <v>39.687992667096225</v>
      </c>
      <c r="CC56" s="22">
        <v>39.691596500441953</v>
      </c>
      <c r="CD56" s="22">
        <v>39.695200661030611</v>
      </c>
      <c r="CE56" s="22">
        <v>39.698805148891907</v>
      </c>
      <c r="CF56" s="22">
        <v>39.702409964055562</v>
      </c>
      <c r="CG56" s="22">
        <v>39.706015106551291</v>
      </c>
      <c r="CH56" s="22">
        <v>39.709620576408824</v>
      </c>
      <c r="CI56" s="22">
        <v>39.713226373657882</v>
      </c>
      <c r="CJ56" s="22">
        <v>39.716832498328195</v>
      </c>
      <c r="CK56" s="22">
        <v>39.720438950449491</v>
      </c>
      <c r="CL56" s="22">
        <v>39.724045730051508</v>
      </c>
      <c r="CM56" s="22">
        <v>39.72765283716398</v>
      </c>
      <c r="CN56" s="22">
        <v>39.731260271816645</v>
      </c>
      <c r="CO56" s="22">
        <v>39.734868034039252</v>
      </c>
      <c r="CP56" s="22">
        <v>39.738476123861545</v>
      </c>
      <c r="CQ56" s="22">
        <v>39.742084541313268</v>
      </c>
      <c r="CR56" s="22">
        <v>39.745693286424171</v>
      </c>
      <c r="CS56" s="22">
        <v>39.749302359224011</v>
      </c>
      <c r="CT56" s="22">
        <v>39.752911759742524</v>
      </c>
      <c r="CU56" s="22">
        <v>39.75652148800949</v>
      </c>
      <c r="CV56" s="22">
        <v>39.760131544054666</v>
      </c>
    </row>
    <row r="57" spans="40:100" x14ac:dyDescent="0.25">
      <c r="CI57" s="22">
        <v>40.979780557282339</v>
      </c>
      <c r="CJ57" s="22">
        <v>40.983501690293821</v>
      </c>
      <c r="CK57" s="22">
        <v>40.987223161199523</v>
      </c>
      <c r="CL57" s="22">
        <v>40.990944970030128</v>
      </c>
      <c r="CM57" s="22">
        <v>40.994667116816316</v>
      </c>
      <c r="CN57" s="22">
        <v>40.998389601588777</v>
      </c>
      <c r="CO57" s="22">
        <v>41.002112424378197</v>
      </c>
      <c r="CP57" s="22">
        <v>41.005835585215273</v>
      </c>
      <c r="CQ57" s="22">
        <v>41.009559084130707</v>
      </c>
      <c r="CR57" s="22">
        <v>41.013282921155188</v>
      </c>
      <c r="CS57" s="22">
        <v>41.017007096319425</v>
      </c>
      <c r="CT57" s="22">
        <v>41.020731609654113</v>
      </c>
      <c r="CU57" s="22">
        <v>41.02445646118997</v>
      </c>
      <c r="CV57" s="22">
        <v>41.028181650957698</v>
      </c>
    </row>
    <row r="58" spans="40:100" x14ac:dyDescent="0.25">
      <c r="CQ58" s="22">
        <v>42.224567455392602</v>
      </c>
      <c r="CR58" s="22">
        <v>42.228401620185998</v>
      </c>
      <c r="CS58" s="22">
        <v>42.23223613313737</v>
      </c>
      <c r="CT58" s="22">
        <v>42.236070994278322</v>
      </c>
      <c r="CU58" s="22">
        <v>42.239906203640473</v>
      </c>
      <c r="CV58" s="22">
        <v>42.243741761255443</v>
      </c>
    </row>
  </sheetData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C5808-67B7-4D1E-907A-D06C4761158A}">
  <sheetPr codeName="Sheet2"/>
  <dimension ref="A1:E4"/>
  <sheetViews>
    <sheetView workbookViewId="0">
      <selection activeCell="J14" sqref="J14"/>
    </sheetView>
  </sheetViews>
  <sheetFormatPr defaultRowHeight="15" x14ac:dyDescent="0.25"/>
  <cols>
    <col min="5" max="5" width="11.7109375" bestFit="1" customWidth="1"/>
  </cols>
  <sheetData>
    <row r="1" spans="1:5" x14ac:dyDescent="0.25">
      <c r="A1" t="s">
        <v>9</v>
      </c>
      <c r="B1" t="s">
        <v>17</v>
      </c>
      <c r="C1" t="b">
        <f>TRUE</f>
        <v>1</v>
      </c>
      <c r="D1" t="s">
        <v>15</v>
      </c>
      <c r="E1" t="s">
        <v>40</v>
      </c>
    </row>
    <row r="2" spans="1:5" x14ac:dyDescent="0.25">
      <c r="A2" t="s">
        <v>16</v>
      </c>
      <c r="B2" t="s">
        <v>18</v>
      </c>
      <c r="C2" t="b">
        <f>FALSE</f>
        <v>0</v>
      </c>
      <c r="D2" t="s">
        <v>3</v>
      </c>
      <c r="E2" t="s">
        <v>41</v>
      </c>
    </row>
    <row r="3" spans="1:5" x14ac:dyDescent="0.25">
      <c r="B3" t="s">
        <v>42</v>
      </c>
      <c r="D3" t="s">
        <v>14</v>
      </c>
      <c r="E3" t="b">
        <f>FALSE</f>
        <v>0</v>
      </c>
    </row>
    <row r="4" spans="1:5" x14ac:dyDescent="0.25">
      <c r="B4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56</vt:i4>
      </vt:variant>
    </vt:vector>
  </HeadingPairs>
  <TitlesOfParts>
    <vt:vector size="60" baseType="lpstr">
      <vt:lpstr>Interface</vt:lpstr>
      <vt:lpstr>Interface Python</vt:lpstr>
      <vt:lpstr>Tree</vt:lpstr>
      <vt:lpstr>Ref</vt:lpstr>
      <vt:lpstr>AmEu</vt:lpstr>
      <vt:lpstr>BS_Delta</vt:lpstr>
      <vt:lpstr>BS_Gamma</vt:lpstr>
      <vt:lpstr>BS_Price</vt:lpstr>
      <vt:lpstr>BS_Rho</vt:lpstr>
      <vt:lpstr>BS_Theta</vt:lpstr>
      <vt:lpstr>BS_Vega</vt:lpstr>
      <vt:lpstr>Compute_Greeks</vt:lpstr>
      <vt:lpstr>Data_To_Print</vt:lpstr>
      <vt:lpstr>Div</vt:lpstr>
      <vt:lpstr>DivExDate</vt:lpstr>
      <vt:lpstr>Maturity</vt:lpstr>
      <vt:lpstr>Nb_Nodes</vt:lpstr>
      <vt:lpstr>Nb_Step</vt:lpstr>
      <vt:lpstr>Price</vt:lpstr>
      <vt:lpstr>Pricing_Date</vt:lpstr>
      <vt:lpstr>Py_Barrier</vt:lpstr>
      <vt:lpstr>Py_BSDelta</vt:lpstr>
      <vt:lpstr>Py_BSGamma</vt:lpstr>
      <vt:lpstr>Py_BSRho</vt:lpstr>
      <vt:lpstr>Py_BSTheta</vt:lpstr>
      <vt:lpstr>Py_BSVega</vt:lpstr>
      <vt:lpstr>Py_ComputeGreeks</vt:lpstr>
      <vt:lpstr>Py_Div</vt:lpstr>
      <vt:lpstr>Py_DivExDate</vt:lpstr>
      <vt:lpstr>Py_Maturity</vt:lpstr>
      <vt:lpstr>Py_Nat</vt:lpstr>
      <vt:lpstr>Py_NbSteps</vt:lpstr>
      <vt:lpstr>Py_Price_BS</vt:lpstr>
      <vt:lpstr>Py_Price_Date</vt:lpstr>
      <vt:lpstr>Py_Price_Tree</vt:lpstr>
      <vt:lpstr>Py_Rate</vt:lpstr>
      <vt:lpstr>Py_runTimePrice</vt:lpstr>
      <vt:lpstr>Py_runTimeTree</vt:lpstr>
      <vt:lpstr>Py_Spot</vt:lpstr>
      <vt:lpstr>Py_Strike</vt:lpstr>
      <vt:lpstr>Py_TreeDelta</vt:lpstr>
      <vt:lpstr>Py_TreeGamma</vt:lpstr>
      <vt:lpstr>Py_TreeRho</vt:lpstr>
      <vt:lpstr>Py_TreeTheta</vt:lpstr>
      <vt:lpstr>Py_TreeVega</vt:lpstr>
      <vt:lpstr>Py_Type_C_P</vt:lpstr>
      <vt:lpstr>Py_Vol</vt:lpstr>
      <vt:lpstr>Rate</vt:lpstr>
      <vt:lpstr>Spot</vt:lpstr>
      <vt:lpstr>Strike</vt:lpstr>
      <vt:lpstr>Time_Price</vt:lpstr>
      <vt:lpstr>Time_Tree</vt:lpstr>
      <vt:lpstr>Tree_Delta</vt:lpstr>
      <vt:lpstr>Tree_Gamma</vt:lpstr>
      <vt:lpstr>Tree_Print</vt:lpstr>
      <vt:lpstr>Tree_Rho</vt:lpstr>
      <vt:lpstr>Tree_Theta</vt:lpstr>
      <vt:lpstr>Tree_Vega</vt:lpstr>
      <vt:lpstr>Type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MILO Seguin</dc:creator>
  <cp:lastModifiedBy>Ayman</cp:lastModifiedBy>
  <dcterms:created xsi:type="dcterms:W3CDTF">2023-09-20T13:22:04Z</dcterms:created>
  <dcterms:modified xsi:type="dcterms:W3CDTF">2023-11-17T22:25:24Z</dcterms:modified>
</cp:coreProperties>
</file>